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Test Cases" sheetId="2" state="visible" r:id="rId4"/>
    <sheet name="Test Data &amp; Env" sheetId="3" state="visible" r:id="rId5"/>
    <sheet name="Traceability" sheetId="4" state="visible" r:id="rId6"/>
    <sheet name="Open Items &amp; Assumptions" sheetId="5" state="visible" r:id="rId7"/>
  </sheets>
  <definedNames>
    <definedName function="false" hidden="true" localSheetId="1" name="_xlnm._FilterDatabase" vbProcedure="false">'Test Cases'!$A$1:$S$258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<sst xmlns="http://schemas.openxmlformats.org/spreadsheetml/2006/main" count="3409" uniqueCount="1472">
  <si>
    <t xml:space="preserve">Insurance Order Entry - Whole Life Application: Test Case Suite</t>
  </si>
  <si>
    <t xml:space="preserve">Derived from documents 01-05. Executed status is 'Not Run' - the application was not reachable from the authoring environment. Pass/Fail columns update these counts live.</t>
  </si>
  <si>
    <t xml:space="preserve">Execution status</t>
  </si>
  <si>
    <t xml:space="preserve">Status</t>
  </si>
  <si>
    <t xml:space="preserve">Count</t>
  </si>
  <si>
    <t xml:space="preserve">% of total</t>
  </si>
  <si>
    <t xml:space="preserve">Not Run</t>
  </si>
  <si>
    <t xml:space="preserve">Pass</t>
  </si>
  <si>
    <t xml:space="preserve">Fail</t>
  </si>
  <si>
    <t xml:space="preserve">Blocked</t>
  </si>
  <si>
    <t xml:space="preserve">N/A</t>
  </si>
  <si>
    <t xml:space="preserve">Total</t>
  </si>
  <si>
    <t xml:space="preserve">By Module</t>
  </si>
  <si>
    <t xml:space="preserve">Module</t>
  </si>
  <si>
    <t xml:space="preserve">Critical</t>
  </si>
  <si>
    <t xml:space="preserve">High</t>
  </si>
  <si>
    <t xml:space="preserve">Medium</t>
  </si>
  <si>
    <t xml:space="preserve">Low</t>
  </si>
  <si>
    <t xml:space="preserve">Authentication</t>
  </si>
  <si>
    <t xml:space="preserve">Dashboard</t>
  </si>
  <si>
    <t xml:space="preserve">Client</t>
  </si>
  <si>
    <t xml:space="preserve">Address &amp; Contact</t>
  </si>
  <si>
    <t xml:space="preserve">KYC / Financial / Compliance</t>
  </si>
  <si>
    <t xml:space="preserve">Product</t>
  </si>
  <si>
    <t xml:space="preserve">Riders</t>
  </si>
  <si>
    <t xml:space="preserve">Beneficiaries</t>
  </si>
  <si>
    <t xml:space="preserve">Documents</t>
  </si>
  <si>
    <t xml:space="preserve">Review / Submit</t>
  </si>
  <si>
    <t xml:space="preserve">Status Tracking</t>
  </si>
  <si>
    <t xml:space="preserve">Database</t>
  </si>
  <si>
    <t xml:space="preserve">Navigation &amp; Routes</t>
  </si>
  <si>
    <t xml:space="preserve">End-to-End</t>
  </si>
  <si>
    <t xml:space="preserve">API General</t>
  </si>
  <si>
    <t xml:space="preserve">Cross-cutting</t>
  </si>
  <si>
    <t xml:space="preserve">By Layer</t>
  </si>
  <si>
    <t xml:space="preserve">Layer</t>
  </si>
  <si>
    <t xml:space="preserve">UI</t>
  </si>
  <si>
    <t xml:space="preserve">API</t>
  </si>
  <si>
    <t xml:space="preserve">DB</t>
  </si>
  <si>
    <t xml:space="preserve">UI+API</t>
  </si>
  <si>
    <t xml:space="preserve">By Test Type</t>
  </si>
  <si>
    <t xml:space="preserve">Test Type</t>
  </si>
  <si>
    <t xml:space="preserve">Positive</t>
  </si>
  <si>
    <t xml:space="preserve">Negative</t>
  </si>
  <si>
    <t xml:space="preserve">Boundary</t>
  </si>
  <si>
    <t xml:space="preserve">Security</t>
  </si>
  <si>
    <t xml:space="preserve">Regression</t>
  </si>
  <si>
    <t xml:space="preserve">TC ID</t>
  </si>
  <si>
    <t xml:space="preserve">Test Scenario</t>
  </si>
  <si>
    <t xml:space="preserve">Priority</t>
  </si>
  <si>
    <t xml:space="preserve">Preconditions</t>
  </si>
  <si>
    <t xml:space="preserve">User / Test Data</t>
  </si>
  <si>
    <t xml:space="preserve">Test Steps</t>
  </si>
  <si>
    <t xml:space="preserve">Expected Result</t>
  </si>
  <si>
    <t xml:space="preserve">Risk Ref</t>
  </si>
  <si>
    <t xml:space="preserve">Dependency / Open Item</t>
  </si>
  <si>
    <t xml:space="preserve">Source Document</t>
  </si>
  <si>
    <t xml:space="preserve">Actual Result</t>
  </si>
  <si>
    <t xml:space="preserve">Defect ID</t>
  </si>
  <si>
    <t xml:space="preserve">Evidence</t>
  </si>
  <si>
    <t xml:space="preserve">Executed By</t>
  </si>
  <si>
    <t xml:space="preserve">Executed On</t>
  </si>
  <si>
    <t xml:space="preserve">AUTH-001</t>
  </si>
  <si>
    <t xml:space="preserve">Valid agent login lands on dashboard</t>
  </si>
  <si>
    <t xml:space="preserve">App reachable; not logged in</t>
  </si>
  <si>
    <t xml:space="preserve">agent.valid@insurance.test / Password@123</t>
  </si>
  <si>
    <t xml:space="preserve">1. Open /login
2. Enter valid email and password
3. Click Login</t>
  </si>
  <si>
    <t xml:space="preserve">User is authenticated and redirected to /dashboard; agent identity shown; no error displayed.</t>
  </si>
  <si>
    <t xml:space="preserve">R01</t>
  </si>
  <si>
    <t xml:space="preserve">02 Workflow; 03 Strategy s3-4; 04 Risk R01</t>
  </si>
  <si>
    <t xml:space="preserve">AUTH-002</t>
  </si>
  <si>
    <t xml:space="preserve">Login page renders all controls</t>
  </si>
  <si>
    <t xml:space="preserve">App reachable</t>
  </si>
  <si>
    <t xml:space="preserve">1. Open /login</t>
  </si>
  <si>
    <t xml:space="preserve">Email field, password field (masked) and Login button are visible and enabled; page title/branding correct; no console errors.</t>
  </si>
  <si>
    <t xml:space="preserve">AUTH-003</t>
  </si>
  <si>
    <t xml:space="preserve">Login with Enter key</t>
  </si>
  <si>
    <t xml:space="preserve">On /login</t>
  </si>
  <si>
    <t xml:space="preserve">1. Enter credentials
2. Press Enter in password field</t>
  </si>
  <si>
    <t xml:space="preserve">Form submits and login succeeds same as button click.</t>
  </si>
  <si>
    <t xml:space="preserve">AUTH-004</t>
  </si>
  <si>
    <t xml:space="preserve">Logout ends session</t>
  </si>
  <si>
    <t xml:space="preserve">Logged in as valid agent</t>
  </si>
  <si>
    <t xml:space="preserve">agent.valid@insurance.test</t>
  </si>
  <si>
    <t xml:space="preserve">1. Click Logout
2. Observe redirect
3. Browser Back
4. Open /dashboard directly</t>
  </si>
  <si>
    <t xml:space="preserve">Redirected to /login; Back/direct URL do not show protected data and force /login; session/token cleared.</t>
  </si>
  <si>
    <t xml:space="preserve">AUTH-005</t>
  </si>
  <si>
    <t xml:space="preserve">Session survives page refresh</t>
  </si>
  <si>
    <t xml:space="preserve">Logged in</t>
  </si>
  <si>
    <t xml:space="preserve">1. On /dashboard press F5</t>
  </si>
  <si>
    <t xml:space="preserve">User remains logged in; dashboard reloads with same data.</t>
  </si>
  <si>
    <t xml:space="preserve">AUTH-006</t>
  </si>
  <si>
    <t xml:space="preserve">Invalid password rejected</t>
  </si>
  <si>
    <t xml:space="preserve">agent.valid@insurance.test / WrongPass@1</t>
  </si>
  <si>
    <t xml:space="preserve">1. Enter valid email and wrong password
2. Click Login</t>
  </si>
  <si>
    <t xml:space="preserve">Login refused with a clear generic 'invalid credentials' message; user stays on /login; no session created.</t>
  </si>
  <si>
    <t xml:space="preserve">AUTH-007</t>
  </si>
  <si>
    <t xml:space="preserve">Unregistered email rejected</t>
  </si>
  <si>
    <t xml:space="preserve">nouser@insurance.test / Password@123</t>
  </si>
  <si>
    <t xml:space="preserve">1. Enter unknown email and any password
2. Click Login</t>
  </si>
  <si>
    <t xml:space="preserve">Login refused with same generic message as wrong password (no user enumeration).</t>
  </si>
  <si>
    <t xml:space="preserve">AUTH-008</t>
  </si>
  <si>
    <t xml:space="preserve">Blank email and password</t>
  </si>
  <si>
    <t xml:space="preserve">both empty</t>
  </si>
  <si>
    <t xml:space="preserve">1. Click Login with both fields empty</t>
  </si>
  <si>
    <t xml:space="preserve">Required-field validation shown for both fields; no request authenticates; stays on /login.</t>
  </si>
  <si>
    <t xml:space="preserve">AUTH-009</t>
  </si>
  <si>
    <t xml:space="preserve">Blank email only</t>
  </si>
  <si>
    <t xml:space="preserve">password Password@123</t>
  </si>
  <si>
    <t xml:space="preserve">1. Leave email empty, enter password
2. Click Login</t>
  </si>
  <si>
    <t xml:space="preserve">Email required message shown; login not attempted.</t>
  </si>
  <si>
    <t xml:space="preserve">AUTH-010</t>
  </si>
  <si>
    <t xml:space="preserve">Blank password only</t>
  </si>
  <si>
    <t xml:space="preserve">1. Enter email, leave password empty
2. Click Login</t>
  </si>
  <si>
    <t xml:space="preserve">Password required message shown; login not attempted.</t>
  </si>
  <si>
    <t xml:space="preserve">AUTH-011</t>
  </si>
  <si>
    <t xml:space="preserve">Malformed email format</t>
  </si>
  <si>
    <t xml:space="preserve">agent.valid@ ; agent.valid ; @insurance.test</t>
  </si>
  <si>
    <t xml:space="preserve">1. Enter each malformed email with a password
2. Click Login</t>
  </si>
  <si>
    <t xml:space="preserve">Format validation or generic failure; no authentication; no server error.</t>
  </si>
  <si>
    <t xml:space="preserve">AUTH-012</t>
  </si>
  <si>
    <t xml:space="preserve">Locked account shows correct locked message</t>
  </si>
  <si>
    <t xml:space="preserve">Account locked by seed</t>
  </si>
  <si>
    <t xml:space="preserve">agent.locked@insurance.test / Password@123</t>
  </si>
  <si>
    <t xml:space="preserve">1. Login with locked user and correct password</t>
  </si>
  <si>
    <t xml:space="preserve">Login blocked with an explicit 'account locked' style message (not 'invalid credentials' and not a success); no session created. Risk: incorrect locked-user message.</t>
  </si>
  <si>
    <t xml:space="preserve">D-02</t>
  </si>
  <si>
    <t xml:space="preserve">AUTH-013</t>
  </si>
  <si>
    <t xml:space="preserve">Failed-attempt lockout triggers after threshold</t>
  </si>
  <si>
    <t xml:space="preserve">Fresh unlocked learner account (use learner pool, not shared agent.valid)</t>
  </si>
  <si>
    <t xml:space="preserve">learner001@insurance.test / wrong password</t>
  </si>
  <si>
    <t xml:space="preserve">1. Submit wrong password repeatedly, counting attempts
2. Note the attempt at which lock/lock-message appears
3. Submit CORRECT password afterwards</t>
  </si>
  <si>
    <t xml:space="preserve">Account is locked at the documented threshold; subsequent correct password is also rejected with locked message. Record threshold (not documented).</t>
  </si>
  <si>
    <t xml:space="preserve">D-02 / Clarif-2</t>
  </si>
  <si>
    <t xml:space="preserve">AUTH-014</t>
  </si>
  <si>
    <t xml:space="preserve">Failed attempts below threshold do not lock</t>
  </si>
  <si>
    <t xml:space="preserve">Fresh learner account</t>
  </si>
  <si>
    <t xml:space="preserve">learner002 with (threshold-1) wrong attempts then correct password</t>
  </si>
  <si>
    <t xml:space="preserve">1. Fail (threshold-1) times
2. Login with correct password</t>
  </si>
  <si>
    <t xml:space="preserve">Login succeeds and counter resets.</t>
  </si>
  <si>
    <t xml:space="preserve">Threshold TBC</t>
  </si>
  <si>
    <t xml:space="preserve">AUTH-015</t>
  </si>
  <si>
    <t xml:space="preserve">Direct access /dashboard when logged out</t>
  </si>
  <si>
    <t xml:space="preserve">No session</t>
  </si>
  <si>
    <t xml:space="preserve">1. Open /dashboard directly</t>
  </si>
  <si>
    <t xml:space="preserve">Redirected to /login; no dashboard data rendered.</t>
  </si>
  <si>
    <t xml:space="preserve">AUTH-016</t>
  </si>
  <si>
    <t xml:space="preserve">Direct access to application routes when logged out</t>
  </si>
  <si>
    <t xml:space="preserve">No session; a known applicationId</t>
  </si>
  <si>
    <t xml:space="preserve">/applications/new ; /applications/:id ; /client ; /documents ; /review ; /status</t>
  </si>
  <si>
    <t xml:space="preserve">1. Open each route directly without logging in</t>
  </si>
  <si>
    <t xml:space="preserve">Every protected route redirects to /login (or 401/403 page); no application data leaked.</t>
  </si>
  <si>
    <t xml:space="preserve">AUTH-017</t>
  </si>
  <si>
    <t xml:space="preserve">Password field masked; not exposed in URL</t>
  </si>
  <si>
    <t xml:space="preserve">1. Type password
2. Submit
3. Inspect URL, browser history and DOM attribute</t>
  </si>
  <si>
    <t xml:space="preserve">Password displayed masked; never appears in URL/query string or history.</t>
  </si>
  <si>
    <t xml:space="preserve">AUTH-018</t>
  </si>
  <si>
    <t xml:space="preserve">Password policy consistent across entry points</t>
  </si>
  <si>
    <t xml:space="preserve">Where a password create/change flow exists</t>
  </si>
  <si>
    <t xml:space="preserve">weak passwords e.g. '123', 'password'</t>
  </si>
  <si>
    <t xml:space="preserve">1. Locate any password set/reset/change UI
2. Try weak vs policy-compliant values</t>
  </si>
  <si>
    <t xml:space="preserve">Same policy applied everywhere (risk: inconsistent password policy). If no such flow exists, record N/A.</t>
  </si>
  <si>
    <t xml:space="preserve">Not documented</t>
  </si>
  <si>
    <t xml:space="preserve">AUTH-019</t>
  </si>
  <si>
    <t xml:space="preserve">Login error messages do not leak details</t>
  </si>
  <si>
    <t xml:space="preserve">invalid credentials variants</t>
  </si>
  <si>
    <t xml:space="preserve">1. Compare message/response time/HTTP status for unknown user vs wrong password vs locked</t>
  </si>
  <si>
    <t xml:space="preserve">No stack traces, SQL errors or internal info; messages appropriate; no unintended user enumeration beyond locked message.</t>
  </si>
  <si>
    <t xml:space="preserve">AUTH-020</t>
  </si>
  <si>
    <t xml:space="preserve">SQL injection / script payload in login fields</t>
  </si>
  <si>
    <t xml:space="preserve">' OR '1'='1 ; &lt;script&gt;alert(1)&lt;/script&gt;</t>
  </si>
  <si>
    <t xml:space="preserve">1. Enter payload in email and password
2. Submit</t>
  </si>
  <si>
    <t xml:space="preserve">Login rejected; no script execution; no DB error shown; no 500.</t>
  </si>
  <si>
    <t xml:space="preserve">AUTH-021</t>
  </si>
  <si>
    <t xml:space="preserve">Email case and whitespace handling</t>
  </si>
  <si>
    <t xml:space="preserve">AGENT.VALID@INSURANCE.TEST ; ' agent.valid@insurance.test '</t>
  </si>
  <si>
    <t xml:space="preserve">1. Login with upper-case email
2. Login with leading/trailing spaces</t>
  </si>
  <si>
    <t xml:space="preserve">Behavior is consistent and documented (accept after normalisation or reject with clear message); no crash.</t>
  </si>
  <si>
    <t xml:space="preserve">Clarify</t>
  </si>
  <si>
    <t xml:space="preserve">AUTH-022</t>
  </si>
  <si>
    <t xml:space="preserve">Learner pool user can login (sample)</t>
  </si>
  <si>
    <t xml:space="preserve">Learner accounts provisioned</t>
  </si>
  <si>
    <t xml:space="preserve">learner001 and learner030 / Password@123</t>
  </si>
  <si>
    <t xml:space="preserve">1. Login as learner001
2. Logout
3. Login as learner030</t>
  </si>
  <si>
    <t xml:space="preserve">Both log in successfully to own empty/seeded dashboard.</t>
  </si>
  <si>
    <t xml:space="preserve">AUTH-023</t>
  </si>
  <si>
    <t xml:space="preserve">Two users logged in parallel are isolated</t>
  </si>
  <si>
    <t xml:space="preserve">Two browser contexts</t>
  </si>
  <si>
    <t xml:space="preserve">agent.valid@insurance.test and agent.draft@insurance.test</t>
  </si>
  <si>
    <t xml:space="preserve">1. Login as user A in context 1
2. Login as user B in context 2
3. Compare dashboards; refresh both</t>
  </si>
  <si>
    <t xml:space="preserve">Each context shows only its own user/session data; no cross-session bleed.</t>
  </si>
  <si>
    <t xml:space="preserve">R01 R02</t>
  </si>
  <si>
    <t xml:space="preserve">AUTH-024</t>
  </si>
  <si>
    <t xml:space="preserve">MFA / OTP login</t>
  </si>
  <si>
    <t xml:space="preserve">MFA user and OTP simulation available</t>
  </si>
  <si>
    <t xml:space="preserve">MFA account TBC</t>
  </si>
  <si>
    <t xml:space="preserve">1. Login as MFA user
2. Enter OTP</t>
  </si>
  <si>
    <t xml:space="preserve">Valid OTP grants access; invalid/expired OTP rejected.</t>
  </si>
  <si>
    <t xml:space="preserve">D-02 (MFA user + OTP mechanism not supplied) - BLOCKED</t>
  </si>
  <si>
    <t xml:space="preserve">AUTH-025</t>
  </si>
  <si>
    <t xml:space="preserve">Session timeout / idle expiry</t>
  </si>
  <si>
    <t xml:space="preserve">1. Stay idle for configured timeout
2. Perform an action</t>
  </si>
  <si>
    <t xml:space="preserve">Session expires per policy and user is sent to /login without data loss prompt issues.</t>
  </si>
  <si>
    <t xml:space="preserve">Timeout not documented</t>
  </si>
  <si>
    <t xml:space="preserve">AAPI-001</t>
  </si>
  <si>
    <t xml:space="preserve">API call without X-API-Key</t>
  </si>
  <si>
    <t xml:space="preserve">API base http://34.93.145.116:8081/api</t>
  </si>
  <si>
    <t xml:space="preserve">no header</t>
  </si>
  <si>
    <t xml:space="preserve">1. Call any protected endpoint (e.g. GET /api/applications) without X-API-Key</t>
  </si>
  <si>
    <t xml:space="preserve">401/403 returned with standard error body; no data.</t>
  </si>
  <si>
    <t xml:space="preserve">03 Strategy (API layer); 04 Risk R01. Endpoint paths assumed - confirm with contract (D-05)</t>
  </si>
  <si>
    <t xml:space="preserve">AAPI-002</t>
  </si>
  <si>
    <t xml:space="preserve">API call with invalid X-API-Key</t>
  </si>
  <si>
    <t xml:space="preserve">X-API-Key: invalid-token</t>
  </si>
  <si>
    <t xml:space="preserve">1. Call protected endpoint with wrong key</t>
  </si>
  <si>
    <t xml:space="preserve">401/403; no data; no stack trace.</t>
  </si>
  <si>
    <t xml:space="preserve">AAPI-003</t>
  </si>
  <si>
    <t xml:space="preserve">API call with valid X-API-Key</t>
  </si>
  <si>
    <t xml:space="preserve">X-API-Key: qa-insurance-demo-token-123</t>
  </si>
  <si>
    <t xml:space="preserve">1. Call protected endpoint with valid key</t>
  </si>
  <si>
    <t xml:space="preserve">200 with documented JSON schema.</t>
  </si>
  <si>
    <t xml:space="preserve">AAPI-004</t>
  </si>
  <si>
    <t xml:space="preserve">Login API valid credentials</t>
  </si>
  <si>
    <t xml:space="preserve">1. POST login service with valid credentials</t>
  </si>
  <si>
    <t xml:space="preserve">200; session/token returned; user profile consistent with UI.</t>
  </si>
  <si>
    <t xml:space="preserve">Path TBC</t>
  </si>
  <si>
    <t xml:space="preserve">AAPI-005</t>
  </si>
  <si>
    <t xml:space="preserve">Login API invalid credentials</t>
  </si>
  <si>
    <t xml:space="preserve">agent.valid@insurance.test / wrong</t>
  </si>
  <si>
    <t xml:space="preserve">1. POST login with wrong password</t>
  </si>
  <si>
    <t xml:space="preserve">401 with generic error; no token.</t>
  </si>
  <si>
    <t xml:space="preserve">AAPI-006</t>
  </si>
  <si>
    <t xml:space="preserve">Login API locked user</t>
  </si>
  <si>
    <t xml:space="preserve">1. POST login for locked user</t>
  </si>
  <si>
    <t xml:space="preserve">Rejected with locked indication (403/423 or documented); no token. Compare to UI message.</t>
  </si>
  <si>
    <t xml:space="preserve">AAPI-007</t>
  </si>
  <si>
    <t xml:space="preserve">Login API blank / malformed payload</t>
  </si>
  <si>
    <t xml:space="preserve">{} ; missing password ; wrong types ; invalid JSON</t>
  </si>
  <si>
    <t xml:space="preserve">1. POST each invalid payload</t>
  </si>
  <si>
    <t xml:space="preserve">400/422 with field-level error; no 500.</t>
  </si>
  <si>
    <t xml:space="preserve">AAPI-008</t>
  </si>
  <si>
    <t xml:space="preserve">Protected endpoint with user token but other user's data</t>
  </si>
  <si>
    <t xml:space="preserve">Two users' tokens</t>
  </si>
  <si>
    <t xml:space="preserve">agent.valid@insurance.test token vs agent.draft@insurance.test application</t>
  </si>
  <si>
    <t xml:space="preserve">1. Using user A auth, request user B's application by id</t>
  </si>
  <si>
    <t xml:space="preserve">403/404; no data from user B (see IDOR cases).</t>
  </si>
  <si>
    <t xml:space="preserve">AAPI-009</t>
  </si>
  <si>
    <t xml:space="preserve">Logout API invalidates session</t>
  </si>
  <si>
    <t xml:space="preserve">Logged in via API</t>
  </si>
  <si>
    <t xml:space="preserve">1. Call logout
2. Reuse previous token</t>
  </si>
  <si>
    <t xml:space="preserve">Reused token rejected 401.</t>
  </si>
  <si>
    <t xml:space="preserve">DASH-001</t>
  </si>
  <si>
    <t xml:space="preserve">Dashboard loads with summary and application list</t>
  </si>
  <si>
    <t xml:space="preserve">1. Login
2. Observe /dashboard</t>
  </si>
  <si>
    <t xml:space="preserve">Applications table/cards, status summaries and 'New Application' action visible; no console/network errors.</t>
  </si>
  <si>
    <t xml:space="preserve">R02</t>
  </si>
  <si>
    <t xml:space="preserve">02 Workflow; 03 Strategy s3; 04 Risk R02</t>
  </si>
  <si>
    <t xml:space="preserve">DASH-002</t>
  </si>
  <si>
    <t xml:space="preserve">Empty state for user with no applications</t>
  </si>
  <si>
    <t xml:space="preserve">Fresh user</t>
  </si>
  <si>
    <t xml:space="preserve">agent.new@insurance.test</t>
  </si>
  <si>
    <t xml:space="preserve">1. Login as agent.new</t>
  </si>
  <si>
    <t xml:space="preserve">Meaningful empty-state message and New Application CTA; no broken table or errors.</t>
  </si>
  <si>
    <t xml:space="preserve">DASH-003</t>
  </si>
  <si>
    <t xml:space="preserve">Draft scenario user sees draft application(s)</t>
  </si>
  <si>
    <t xml:space="preserve">Seeded draft</t>
  </si>
  <si>
    <t xml:space="preserve">agent.draft@insurance.test</t>
  </si>
  <si>
    <t xml:space="preserve">1. Login as agent.draft</t>
  </si>
  <si>
    <t xml:space="preserve">At least one application with status Draft and a Resume action.</t>
  </si>
  <si>
    <t xml:space="preserve">D-03</t>
  </si>
  <si>
    <t xml:space="preserve">DASH-004</t>
  </si>
  <si>
    <t xml:space="preserve">Submitted scenario user sees submitted application(s)</t>
  </si>
  <si>
    <t xml:space="preserve">Seeded submitted</t>
  </si>
  <si>
    <t xml:space="preserve">agent.submitted@insurance.test</t>
  </si>
  <si>
    <t xml:space="preserve">1. Login as agent.submitted</t>
  </si>
  <si>
    <t xml:space="preserve">Submitted application listed with reference number and Submitted status.</t>
  </si>
  <si>
    <t xml:space="preserve">R02 R12</t>
  </si>
  <si>
    <t xml:space="preserve">DASH-005</t>
  </si>
  <si>
    <t xml:space="preserve">New Application button opens /applications/new</t>
  </si>
  <si>
    <t xml:space="preserve">1. Click New Application</t>
  </si>
  <si>
    <t xml:space="preserve">Navigates to /applications/new then to client step; draft application id created.</t>
  </si>
  <si>
    <t xml:space="preserve">DASH-006</t>
  </si>
  <si>
    <t xml:space="preserve">Resume draft opens at correct step with data intact</t>
  </si>
  <si>
    <t xml:space="preserve">Draft exists</t>
  </si>
  <si>
    <t xml:space="preserve">1. Click Resume on draft
2. Review each completed section</t>
  </si>
  <si>
    <t xml:space="preserve">Opens /applications/:id at the right step; previously saved values are all present.</t>
  </si>
  <si>
    <t xml:space="preserve">R02 R11</t>
  </si>
  <si>
    <t xml:space="preserve">DASH-007</t>
  </si>
  <si>
    <t xml:space="preserve">Filter by status</t>
  </si>
  <si>
    <t xml:space="preserve">User with mixed statuses</t>
  </si>
  <si>
    <t xml:space="preserve">1. Apply each status filter (Draft, Submitted, etc.)
2. Clear filter</t>
  </si>
  <si>
    <t xml:space="preserve">List only shows applications of selected status; counts consistent; clear restores all.</t>
  </si>
  <si>
    <t xml:space="preserve">Status list TBC (D-08)</t>
  </si>
  <si>
    <t xml:space="preserve">DASH-008</t>
  </si>
  <si>
    <t xml:space="preserve">Search / sort applications</t>
  </si>
  <si>
    <t xml:space="preserve">Multiple applications</t>
  </si>
  <si>
    <t xml:space="preserve">1. Search by reference/client name
2. Sort by date/status columns</t>
  </si>
  <si>
    <t xml:space="preserve">Results correct and stable; no records from other agents.</t>
  </si>
  <si>
    <t xml:space="preserve">If feature exists</t>
  </si>
  <si>
    <t xml:space="preserve">DASH-009</t>
  </si>
  <si>
    <t xml:space="preserve">Status summary counts match list and API</t>
  </si>
  <si>
    <t xml:space="preserve">Mixed-status user</t>
  </si>
  <si>
    <t xml:space="preserve">1. Read summary tiles
2. Count list rows per status
3. Call applications API</t>
  </si>
  <si>
    <t xml:space="preserve">Tile counts = list = API totals.</t>
  </si>
  <si>
    <t xml:space="preserve">DASH-010</t>
  </si>
  <si>
    <t xml:space="preserve">Own-record isolation in list</t>
  </si>
  <si>
    <t xml:space="preserve">Two users with different apps</t>
  </si>
  <si>
    <t xml:space="preserve">agent.valid@insurance.test vs agent.draft@insurance.test/agent.submitted@insurance.test</t>
  </si>
  <si>
    <t xml:space="preserve">1. Login as each user
2. Compare list contents</t>
  </si>
  <si>
    <t xml:space="preserve">Each agent sees only their own applications.</t>
  </si>
  <si>
    <t xml:space="preserve">DASH-011</t>
  </si>
  <si>
    <t xml:space="preserve">Access another agent's application by URL (IDOR)</t>
  </si>
  <si>
    <t xml:space="preserve">ID of application owned by agent.draft</t>
  </si>
  <si>
    <t xml:space="preserve">login as agent.valid@insurance.test</t>
  </si>
  <si>
    <t xml:space="preserve">1. Copy /applications/:id from agent.draft
2. Login as agent.valid and open that URL (also /client, /review, /status)</t>
  </si>
  <si>
    <t xml:space="preserve">Access denied / 404 / redirect; no data leaked.</t>
  </si>
  <si>
    <t xml:space="preserve">DASH-012</t>
  </si>
  <si>
    <t xml:space="preserve">Invalid or non-existent applicationId</t>
  </si>
  <si>
    <t xml:space="preserve">/applications/999999999 ; /applications/abc</t>
  </si>
  <si>
    <t xml:space="preserve">1. Open invalid application URLs</t>
  </si>
  <si>
    <t xml:space="preserve">Friendly not-found/error page; no stack trace; no crash.</t>
  </si>
  <si>
    <t xml:space="preserve">DASH-013</t>
  </si>
  <si>
    <t xml:space="preserve">Open submitted application is read-only</t>
  </si>
  <si>
    <t xml:space="preserve">Submitted app</t>
  </si>
  <si>
    <t xml:space="preserve">1. Open submitted app from dashboard
2. Try to edit fields in each step</t>
  </si>
  <si>
    <t xml:space="preserve">Opens status/confirmation view; inputs disabled; no Save/Submit.</t>
  </si>
  <si>
    <t xml:space="preserve">DASH-014</t>
  </si>
  <si>
    <t xml:space="preserve">Status badge labels and consistency</t>
  </si>
  <si>
    <t xml:space="preserve">Mixed statuses</t>
  </si>
  <si>
    <t xml:space="preserve">1. Inspect badges</t>
  </si>
  <si>
    <t xml:space="preserve">Labels match backend statuses and are consistent between dashboard and status page.</t>
  </si>
  <si>
    <t xml:space="preserve">D-08</t>
  </si>
  <si>
    <t xml:space="preserve">DASH-015</t>
  </si>
  <si>
    <t xml:space="preserve">Dashboard after creating new application shows it as Draft</t>
  </si>
  <si>
    <t xml:space="preserve">1. Create application, fill client step, Save
2. Return to dashboard</t>
  </si>
  <si>
    <t xml:space="preserve">New Draft row appears without manual refresh issues.</t>
  </si>
  <si>
    <t xml:space="preserve">DASH-016</t>
  </si>
  <si>
    <t xml:space="preserve">Dashboard load time baseline</t>
  </si>
  <si>
    <t xml:space="preserve">Normal data volume</t>
  </si>
  <si>
    <t xml:space="preserve">1. Measure dashboard load 3 times</t>
  </si>
  <si>
    <t xml:space="preserve">Loads within agreed baseline (record values; threshold not supplied).</t>
  </si>
  <si>
    <t xml:space="preserve">Perf targets not supplied</t>
  </si>
  <si>
    <t xml:space="preserve">DAPI-001</t>
  </si>
  <si>
    <t xml:space="preserve">List applications returns only caller's records</t>
  </si>
  <si>
    <t xml:space="preserve">Auth for valid and draft users</t>
  </si>
  <si>
    <t xml:space="preserve">1. GET applications as agent.valid
2. GET applications as agent.draft</t>
  </si>
  <si>
    <t xml:space="preserve">Responses contain disjoint own-owned records; schema valid; 200.</t>
  </si>
  <si>
    <t xml:space="preserve">03 Strategy; 04 Risk R02. Paths assumed</t>
  </si>
  <si>
    <t xml:space="preserve">DAPI-002</t>
  </si>
  <si>
    <t xml:space="preserve">Get application by id - owner</t>
  </si>
  <si>
    <t xml:space="preserve">Own application id</t>
  </si>
  <si>
    <t xml:space="preserve">1. GET /api/applications/:id</t>
  </si>
  <si>
    <t xml:space="preserve">200; fields match UI (status, reference, client).</t>
  </si>
  <si>
    <t xml:space="preserve">DAPI-003</t>
  </si>
  <si>
    <t xml:space="preserve">Get application by id - non-owner</t>
  </si>
  <si>
    <t xml:space="preserve">Other user's id</t>
  </si>
  <si>
    <t xml:space="preserve">1. GET /api/applications/:id with different user</t>
  </si>
  <si>
    <t xml:space="preserve">403/404; no data.</t>
  </si>
  <si>
    <t xml:space="preserve">DAPI-004</t>
  </si>
  <si>
    <t xml:space="preserve">Get non-existent / malformed id</t>
  </si>
  <si>
    <t xml:space="preserve">id=0, -1, abc, very long</t>
  </si>
  <si>
    <t xml:space="preserve">1. GET with each id</t>
  </si>
  <si>
    <t xml:space="preserve">404/400 with standard error body.</t>
  </si>
  <si>
    <t xml:space="preserve">DAPI-005</t>
  </si>
  <si>
    <t xml:space="preserve">Create application API</t>
  </si>
  <si>
    <t xml:space="preserve">Auth</t>
  </si>
  <si>
    <t xml:space="preserve">{} or minimal payload</t>
  </si>
  <si>
    <t xml:space="preserve">1. POST create application</t>
  </si>
  <si>
    <t xml:space="preserve">201 with applicationId, status Draft; visible on dashboard.</t>
  </si>
  <si>
    <t xml:space="preserve">DAPI-006</t>
  </si>
  <si>
    <t xml:space="preserve">Filter parameters on list API</t>
  </si>
  <si>
    <t xml:space="preserve">status=Draft</t>
  </si>
  <si>
    <t xml:space="preserve">1. GET list with status filter</t>
  </si>
  <si>
    <t xml:space="preserve">Only matching records returned; invalid filter value -&gt; 400 or ignored consistently.</t>
  </si>
  <si>
    <t xml:space="preserve">CLNT-001</t>
  </si>
  <si>
    <t xml:space="preserve">Valid client details progress to next step</t>
  </si>
  <si>
    <t xml:space="preserve">New application started</t>
  </si>
  <si>
    <t xml:space="preserve">Adult client age 35, all mandatory fields valid</t>
  </si>
  <si>
    <t xml:space="preserve">1. Fill all mandatory client fields with valid data
2. Click Save &amp; Continue</t>
  </si>
  <si>
    <t xml:space="preserve">Saved; moves to Address &amp; Contact; values retained when navigating back.</t>
  </si>
  <si>
    <t xml:space="preserve">R03</t>
  </si>
  <si>
    <t xml:space="preserve">02 Workflow (Client/Contact); 03 Strategy s4; 04 Risk R03</t>
  </si>
  <si>
    <t xml:space="preserve">CLNT-002</t>
  </si>
  <si>
    <t xml:space="preserve">All mandatory fields blank</t>
  </si>
  <si>
    <t xml:space="preserve">On client step</t>
  </si>
  <si>
    <t xml:space="preserve">1. Click Continue without data</t>
  </si>
  <si>
    <t xml:space="preserve">Inline errors on each required field; cannot proceed.</t>
  </si>
  <si>
    <t xml:space="preserve">CLNT-003</t>
  </si>
  <si>
    <t xml:space="preserve">Each mandatory field blank individually</t>
  </si>
  <si>
    <t xml:space="preserve">Blank one field at a time</t>
  </si>
  <si>
    <t xml:space="preserve">1. Fill all but one mandatory field
2. Continue
3. Repeat for each field</t>
  </si>
  <si>
    <t xml:space="preserve">Specific error for the missing field only; others retain values.</t>
  </si>
  <si>
    <t xml:space="preserve">Field list to confirm in UI</t>
  </si>
  <si>
    <t xml:space="preserve">CLNT-004</t>
  </si>
  <si>
    <t xml:space="preserve">Age exactly 18 (lower boundary)</t>
  </si>
  <si>
    <t xml:space="preserve">DOB = today minus 18 years exactly</t>
  </si>
  <si>
    <t xml:space="preserve">1. Enter DOB giving age 18 today
2. Continue</t>
  </si>
  <si>
    <t xml:space="preserve">Accepted.</t>
  </si>
  <si>
    <t xml:space="preserve">CLNT-005</t>
  </si>
  <si>
    <t xml:space="preserve">Age 17 years 364 days (under age)</t>
  </si>
  <si>
    <t xml:space="preserve">DOB = today minus 18 years plus 1 day</t>
  </si>
  <si>
    <t xml:space="preserve">1. Enter DOB
2. Continue</t>
  </si>
  <si>
    <t xml:space="preserve">Rejected with age-eligibility message (18-65).</t>
  </si>
  <si>
    <t xml:space="preserve">CLNT-006</t>
  </si>
  <si>
    <t xml:space="preserve">Age 17 (clearly underage)</t>
  </si>
  <si>
    <t xml:space="preserve">DOB = today minus 17 years</t>
  </si>
  <si>
    <t xml:space="preserve">Rejected; message states age 18-65.</t>
  </si>
  <si>
    <t xml:space="preserve">CLNT-007</t>
  </si>
  <si>
    <t xml:space="preserve">Age exactly 65 (upper boundary)</t>
  </si>
  <si>
    <t xml:space="preserve">DOB = today minus 65 years exactly</t>
  </si>
  <si>
    <t xml:space="preserve">Accepted (65 within 18-65). Confirm inclusivity with business.</t>
  </si>
  <si>
    <t xml:space="preserve">Inclusivity to confirm</t>
  </si>
  <si>
    <t xml:space="preserve">CLNT-008</t>
  </si>
  <si>
    <t xml:space="preserve">Age 65 years + 1 day / age 66 (over age)</t>
  </si>
  <si>
    <t xml:space="preserve">DOB = today minus 65 years minus 1 day; also minus 66 years</t>
  </si>
  <si>
    <t xml:space="preserve">Rejected with age-eligibility message.</t>
  </si>
  <si>
    <t xml:space="preserve">CLNT-009</t>
  </si>
  <si>
    <t xml:space="preserve">Future date of birth</t>
  </si>
  <si>
    <t xml:space="preserve">Tomorrow; next year</t>
  </si>
  <si>
    <t xml:space="preserve">1. Enter future DOB
2. Continue</t>
  </si>
  <si>
    <t xml:space="preserve">Rejected with invalid-DOB message.</t>
  </si>
  <si>
    <t xml:space="preserve">CLNT-010</t>
  </si>
  <si>
    <t xml:space="preserve">DOB equals today</t>
  </si>
  <si>
    <t xml:space="preserve">today</t>
  </si>
  <si>
    <t xml:space="preserve">1. Enter today as DOB</t>
  </si>
  <si>
    <t xml:space="preserve">Rejected (age 0).</t>
  </si>
  <si>
    <t xml:space="preserve">CLNT-011</t>
  </si>
  <si>
    <t xml:space="preserve">Invalid DOB formats and impossible dates</t>
  </si>
  <si>
    <t xml:space="preserve">31/02/1990 ; 00/00/0000 ; abc ; 1990-13-40</t>
  </si>
  <si>
    <t xml:space="preserve">1. Enter each value</t>
  </si>
  <si>
    <t xml:space="preserve">Rejected with format error; no server error.</t>
  </si>
  <si>
    <t xml:space="preserve">CLNT-012</t>
  </si>
  <si>
    <t xml:space="preserve">Leap-day DOB</t>
  </si>
  <si>
    <t xml:space="preserve">29-Feb of a leap year (age valid)</t>
  </si>
  <si>
    <t xml:space="preserve">1. Enter 29 Feb DOB (e.g. 1992)</t>
  </si>
  <si>
    <t xml:space="preserve">Accepted; age computed correctly.</t>
  </si>
  <si>
    <t xml:space="preserve">CLNT-013</t>
  </si>
  <si>
    <t xml:space="preserve">Age recalculation when DOB edited later</t>
  </si>
  <si>
    <t xml:space="preserve">Client saved; product selected</t>
  </si>
  <si>
    <t xml:space="preserve">Change DOB to make age out of range</t>
  </si>
  <si>
    <t xml:space="preserve">1. Go back to client step
2. Change DOB to 70 years old
3. Continue to product/review</t>
  </si>
  <si>
    <t xml:space="preserve">Ineligibility enforced; stale eligibility not retained; product/premium revalidated.</t>
  </si>
  <si>
    <t xml:space="preserve">R03 R07</t>
  </si>
  <si>
    <t xml:space="preserve">CLNT-014</t>
  </si>
  <si>
    <t xml:space="preserve">Name field validation</t>
  </si>
  <si>
    <t xml:space="preserve">digits, special chars, emoji, 1 char, 256+ chars, leading/trailing spaces</t>
  </si>
  <si>
    <t xml:space="preserve">1. Enter each value in name fields</t>
  </si>
  <si>
    <t xml:space="preserve">Invalid values rejected or sanitised per rule; spaces trimmed; length limit enforced; no crash.</t>
  </si>
  <si>
    <t xml:space="preserve">Rules not documented</t>
  </si>
  <si>
    <t xml:space="preserve">CLNT-015</t>
  </si>
  <si>
    <t xml:space="preserve">Script / HTML injection in text fields</t>
  </si>
  <si>
    <t xml:space="preserve">&lt;script&gt;alert(1)&lt;/script&gt; ; &lt;img src=x onerror=alert(1)&gt;</t>
  </si>
  <si>
    <t xml:space="preserve">1. Enter payload in client text fields
2. Save
3. View on Review and Dashboard</t>
  </si>
  <si>
    <t xml:space="preserve">Input encoded/rejected; no script executes anywhere.</t>
  </si>
  <si>
    <t xml:space="preserve">CLNT-016</t>
  </si>
  <si>
    <t xml:space="preserve">Client data persists after browser refresh/back</t>
  </si>
  <si>
    <t xml:space="preserve">Client step saved</t>
  </si>
  <si>
    <t xml:space="preserve">1. Refresh page
2. Navigate Back/Forward</t>
  </si>
  <si>
    <t xml:space="preserve">Saved data reloaded; no loss.</t>
  </si>
  <si>
    <t xml:space="preserve">R03 R11</t>
  </si>
  <si>
    <t xml:space="preserve">CLNT-017</t>
  </si>
  <si>
    <t xml:space="preserve">Duplicate client / same identity in two applications</t>
  </si>
  <si>
    <t xml:space="preserve">Existing client data</t>
  </si>
  <si>
    <t xml:space="preserve">Same client details as prior app</t>
  </si>
  <si>
    <t xml:space="preserve">1. Create second application with same client</t>
  </si>
  <si>
    <t xml:space="preserve">Behavior per business rule (allowed/warned); record outcome.</t>
  </si>
  <si>
    <t xml:space="preserve">Rule not documented</t>
  </si>
  <si>
    <t xml:space="preserve">CAPI-001</t>
  </si>
  <si>
    <t xml:space="preserve">Create/update client - valid payload</t>
  </si>
  <si>
    <t xml:space="preserve">Draft application id</t>
  </si>
  <si>
    <t xml:space="preserve">valid client JSON</t>
  </si>
  <si>
    <t xml:space="preserve">1. PUT/POST client service</t>
  </si>
  <si>
    <t xml:space="preserve">200/201; stored data returned matches input; GET reflects it in UI.</t>
  </si>
  <si>
    <t xml:space="preserve">Schema TBC</t>
  </si>
  <si>
    <t xml:space="preserve">03 Strategy; 04 Risk R03 (UI/API boundary validation)</t>
  </si>
  <si>
    <t xml:space="preserve">CAPI-002</t>
  </si>
  <si>
    <t xml:space="preserve">API accepts underage DOB (UI/API parity)</t>
  </si>
  <si>
    <t xml:space="preserve">Draft application</t>
  </si>
  <si>
    <t xml:space="preserve">DOB age 17</t>
  </si>
  <si>
    <t xml:space="preserve">1. Send payload directly bypassing UI</t>
  </si>
  <si>
    <t xml:space="preserve">400/422 with age rule error. If 200 -&gt; defect (UI-only validation).</t>
  </si>
  <si>
    <t xml:space="preserve">CAPI-003</t>
  </si>
  <si>
    <t xml:space="preserve">API accepts over-age DOB (age 66)</t>
  </si>
  <si>
    <t xml:space="preserve">DOB age 66</t>
  </si>
  <si>
    <t xml:space="preserve">1. Send payload</t>
  </si>
  <si>
    <t xml:space="preserve">400/422.</t>
  </si>
  <si>
    <t xml:space="preserve">CAPI-004</t>
  </si>
  <si>
    <t xml:space="preserve">API accepts future DOB</t>
  </si>
  <si>
    <t xml:space="preserve">DOB tomorrow</t>
  </si>
  <si>
    <t xml:space="preserve">CAPI-005</t>
  </si>
  <si>
    <t xml:space="preserve">API boundary ages 18 and 65</t>
  </si>
  <si>
    <t xml:space="preserve">ages 18, 65</t>
  </si>
  <si>
    <t xml:space="preserve">1. Send payloads</t>
  </si>
  <si>
    <t xml:space="preserve">Accepted (200/201); consistent with UI.</t>
  </si>
  <si>
    <t xml:space="preserve">CAPI-006</t>
  </si>
  <si>
    <t xml:space="preserve">API missing mandatory fields / wrong types</t>
  </si>
  <si>
    <t xml:space="preserve">omit field; number as string; null</t>
  </si>
  <si>
    <t xml:space="preserve">1. Send each invalid payload</t>
  </si>
  <si>
    <t xml:space="preserve">400/422 identifying field; no 500.</t>
  </si>
  <si>
    <t xml:space="preserve">CAPI-007</t>
  </si>
  <si>
    <t xml:space="preserve">API client update on someone else's application</t>
  </si>
  <si>
    <t xml:space="preserve">Other user's application id</t>
  </si>
  <si>
    <t xml:space="preserve">1. Send update as different user</t>
  </si>
  <si>
    <t xml:space="preserve">403/404; data unchanged.</t>
  </si>
  <si>
    <t xml:space="preserve">R02 R03</t>
  </si>
  <si>
    <t xml:space="preserve">CAPI-008</t>
  </si>
  <si>
    <t xml:space="preserve">API client update on submitted application</t>
  </si>
  <si>
    <t xml:space="preserve">Submitted application id</t>
  </si>
  <si>
    <t xml:space="preserve">1. PUT client data</t>
  </si>
  <si>
    <t xml:space="preserve">Rejected (read-only/409/403); data unchanged.</t>
  </si>
  <si>
    <t xml:space="preserve">R11</t>
  </si>
  <si>
    <t xml:space="preserve">ADDR-001</t>
  </si>
  <si>
    <t xml:space="preserve">Valid address and contact progress</t>
  </si>
  <si>
    <t xml:space="preserve">Client step done</t>
  </si>
  <si>
    <t xml:space="preserve">valid address, postal, email, mobile</t>
  </si>
  <si>
    <t xml:space="preserve">1. Fill all fields
2. Continue</t>
  </si>
  <si>
    <t xml:space="preserve">Saved; moves to KYC/Financial.</t>
  </si>
  <si>
    <t xml:space="preserve">R04</t>
  </si>
  <si>
    <t xml:space="preserve">02 Workflow (Address &amp; Contact); 04 Risk R04</t>
  </si>
  <si>
    <t xml:space="preserve">ADDR-002</t>
  </si>
  <si>
    <t xml:space="preserve">Mandatory fields blank</t>
  </si>
  <si>
    <t xml:space="preserve">On step</t>
  </si>
  <si>
    <t xml:space="preserve">1. Continue with empty form</t>
  </si>
  <si>
    <t xml:space="preserve">Required errors on each mandatory field.</t>
  </si>
  <si>
    <t xml:space="preserve">ADDR-003</t>
  </si>
  <si>
    <t xml:space="preserve">Invalid email formats</t>
  </si>
  <si>
    <t xml:space="preserve">abc ; a@b ; a@.com ; @b.com ; a b@c.com ; a@@b.com</t>
  </si>
  <si>
    <t xml:space="preserve">1. Enter each</t>
  </si>
  <si>
    <t xml:space="preserve">Rejected with email error.</t>
  </si>
  <si>
    <t xml:space="preserve">ADDR-004</t>
  </si>
  <si>
    <t xml:space="preserve">Valid email variants accepted</t>
  </si>
  <si>
    <t xml:space="preserve">a.b+c@sub.domain.co ; UPPER@CASE.COM</t>
  </si>
  <si>
    <t xml:space="preserve">ADDR-005</t>
  </si>
  <si>
    <t xml:space="preserve">Invalid phone numbers</t>
  </si>
  <si>
    <t xml:space="preserve">letters ; 123 ; 25 digits ; special chars ; blank</t>
  </si>
  <si>
    <t xml:space="preserve">Rejected with phone error (length/charset per rule).</t>
  </si>
  <si>
    <t xml:space="preserve">Phone format rule not documented</t>
  </si>
  <si>
    <t xml:space="preserve">ADDR-006</t>
  </si>
  <si>
    <t xml:space="preserve">Valid phone accepted</t>
  </si>
  <si>
    <t xml:space="preserve">valid local-format number</t>
  </si>
  <si>
    <t xml:space="preserve">1. Enter valid phone</t>
  </si>
  <si>
    <t xml:space="preserve">Accepted and retained.</t>
  </si>
  <si>
    <t xml:space="preserve">ADDR-007</t>
  </si>
  <si>
    <t xml:space="preserve">Invalid postal code</t>
  </si>
  <si>
    <t xml:space="preserve">letters ; too short ; too long ; symbols ; blank</t>
  </si>
  <si>
    <t xml:space="preserve">Rejected with postal-code error.</t>
  </si>
  <si>
    <t xml:space="preserve">Postal format not documented</t>
  </si>
  <si>
    <t xml:space="preserve">ADDR-008</t>
  </si>
  <si>
    <t xml:space="preserve">Copy address - same as residential copies all fields exactly</t>
  </si>
  <si>
    <t xml:space="preserve">Residential address filled</t>
  </si>
  <si>
    <t xml:space="preserve">1. Tick 'copy/same as' option
2. Compare every copied field</t>
  </si>
  <si>
    <t xml:space="preserve">All fields (line1, line2, city, state, postal, country) copied exactly, none missing/swapped (risk: copy-address error).</t>
  </si>
  <si>
    <t xml:space="preserve">ADDR-009</t>
  </si>
  <si>
    <t xml:space="preserve">Copy address then edit original</t>
  </si>
  <si>
    <t xml:space="preserve">Copy ticked</t>
  </si>
  <si>
    <t xml:space="preserve">1. Edit residential address after copy</t>
  </si>
  <si>
    <t xml:space="preserve">Copy behaviour as designed (re-sync or independent) and consistent after save.</t>
  </si>
  <si>
    <t xml:space="preserve">ADDR-010</t>
  </si>
  <si>
    <t xml:space="preserve">Untick copy address</t>
  </si>
  <si>
    <t xml:space="preserve">1. Untick copy</t>
  </si>
  <si>
    <t xml:space="preserve">Fields editable again; no stale/locked values.</t>
  </si>
  <si>
    <t xml:space="preserve">ADDR-011</t>
  </si>
  <si>
    <t xml:space="preserve">Field length limits and special characters</t>
  </si>
  <si>
    <t xml:space="preserve">max length +1; accents; &amp; ' - characters</t>
  </si>
  <si>
    <t xml:space="preserve">1. Enter long and special values</t>
  </si>
  <si>
    <t xml:space="preserve">Limit enforced; valid special chars saved correctly; no truncation unnoticed.</t>
  </si>
  <si>
    <t xml:space="preserve">ADDR-012</t>
  </si>
  <si>
    <t xml:space="preserve">Address data persists on refresh and resume</t>
  </si>
  <si>
    <t xml:space="preserve">Saved</t>
  </si>
  <si>
    <t xml:space="preserve">1. Refresh
2. Save draft, logout, login, resume</t>
  </si>
  <si>
    <t xml:space="preserve">All address/contact values persist.</t>
  </si>
  <si>
    <t xml:space="preserve">R04 R11</t>
  </si>
  <si>
    <t xml:space="preserve">ACAPI-001</t>
  </si>
  <si>
    <t xml:space="preserve">API rejects invalid email/phone/postal</t>
  </si>
  <si>
    <t xml:space="preserve">invalid values</t>
  </si>
  <si>
    <t xml:space="preserve">1. Send payloads directly</t>
  </si>
  <si>
    <t xml:space="preserve">400/422 per field; matches UI behaviour.</t>
  </si>
  <si>
    <t xml:space="preserve">04 Risk R04</t>
  </si>
  <si>
    <t xml:space="preserve">ACAPI-002</t>
  </si>
  <si>
    <t xml:space="preserve">API valid address/contact stored and returned</t>
  </si>
  <si>
    <t xml:space="preserve">valid payload</t>
  </si>
  <si>
    <t xml:space="preserve">1. Send valid payload
2. GET application</t>
  </si>
  <si>
    <t xml:space="preserve">Persisted values match; UI shows same.</t>
  </si>
  <si>
    <t xml:space="preserve">ACAPI-003</t>
  </si>
  <si>
    <t xml:space="preserve">API mandatory fields omitted</t>
  </si>
  <si>
    <t xml:space="preserve">omit fields</t>
  </si>
  <si>
    <t xml:space="preserve">1. Send incomplete payload</t>
  </si>
  <si>
    <t xml:space="preserve">400/422 field errors.</t>
  </si>
  <si>
    <t xml:space="preserve">KYC-001</t>
  </si>
  <si>
    <t xml:space="preserve">Valid KYC and financial data progress</t>
  </si>
  <si>
    <t xml:space="preserve">Address step done</t>
  </si>
  <si>
    <t xml:space="preserve">valid ID, income, PEP=No, declarations accepted</t>
  </si>
  <si>
    <t xml:space="preserve">1. Complete all KYC/financial fields
2. Continue</t>
  </si>
  <si>
    <t xml:space="preserve">Saved; moves to Product.</t>
  </si>
  <si>
    <t xml:space="preserve">R05 R06</t>
  </si>
  <si>
    <t xml:space="preserve">02 Workflow (KYC/Financial); 04 Risk R05 R06</t>
  </si>
  <si>
    <t xml:space="preserve">KYC-002</t>
  </si>
  <si>
    <t xml:space="preserve">ID number masked on display</t>
  </si>
  <si>
    <t xml:space="preserve">ID entered</t>
  </si>
  <si>
    <t xml:space="preserve">Sample national ID</t>
  </si>
  <si>
    <t xml:space="preserve">1. Enter ID
2. Save
3. Revisit page, Review page, Status page</t>
  </si>
  <si>
    <t xml:space="preserve">ID shown masked (e.g. only last digits) everywhere after entry; full value not visible.</t>
  </si>
  <si>
    <t xml:space="preserve">R05</t>
  </si>
  <si>
    <t xml:space="preserve">Mask format TBC</t>
  </si>
  <si>
    <t xml:space="preserve">KYC-003</t>
  </si>
  <si>
    <t xml:space="preserve">ID number not exposed in API/network/DOM</t>
  </si>
  <si>
    <t xml:space="preserve">ID saved</t>
  </si>
  <si>
    <t xml:space="preserve">1. Inspect network responses, DOM and console for the ID</t>
  </si>
  <si>
    <t xml:space="preserve">Full ID not returned in clear text in list/detail responses or logs (risk: sensitive ID exposure).</t>
  </si>
  <si>
    <t xml:space="preserve">KYC-004</t>
  </si>
  <si>
    <t xml:space="preserve">Invalid ID format rejected</t>
  </si>
  <si>
    <t xml:space="preserve">short ; letters ; special chars ; all zeros</t>
  </si>
  <si>
    <t xml:space="preserve">Rejected with ID error.</t>
  </si>
  <si>
    <t xml:space="preserve">ID rule not documented</t>
  </si>
  <si>
    <t xml:space="preserve">KYC-005</t>
  </si>
  <si>
    <t xml:space="preserve">Mandatory KYC evidence missing blocks progress</t>
  </si>
  <si>
    <t xml:space="preserve">On KYC step</t>
  </si>
  <si>
    <t xml:space="preserve">no ID document uploaded</t>
  </si>
  <si>
    <t xml:space="preserve">1. Complete fields but no evidence
2. Continue / Review</t>
  </si>
  <si>
    <t xml:space="preserve">Blocked with message at step or review; cannot submit (risk: mandatory evidence bypassed).</t>
  </si>
  <si>
    <t xml:space="preserve">KYC-006</t>
  </si>
  <si>
    <t xml:space="preserve">KYC document valid upload</t>
  </si>
  <si>
    <t xml:space="preserve">valid PDF/JPG sample</t>
  </si>
  <si>
    <t xml:space="preserve">1. Upload KYC document</t>
  </si>
  <si>
    <t xml:space="preserve">Upload success status shown; file name listed.</t>
  </si>
  <si>
    <t xml:space="preserve">R05 R10</t>
  </si>
  <si>
    <t xml:space="preserve">KYC-007</t>
  </si>
  <si>
    <t xml:space="preserve">KYC document unsupported type</t>
  </si>
  <si>
    <t xml:space="preserve">.exe, .zip</t>
  </si>
  <si>
    <t xml:space="preserve">1. Upload unsupported file</t>
  </si>
  <si>
    <t xml:space="preserve">Rejected with message; not listed as uploaded.</t>
  </si>
  <si>
    <t xml:space="preserve">KYC-008</t>
  </si>
  <si>
    <t xml:space="preserve">PEP = Yes shows conditional fields</t>
  </si>
  <si>
    <t xml:space="preserve">On compliance section</t>
  </si>
  <si>
    <t xml:space="preserve">1. Select PEP = Yes</t>
  </si>
  <si>
    <t xml:space="preserve">Additional PEP details fields appear and are mandatory.</t>
  </si>
  <si>
    <t xml:space="preserve">KYC-009</t>
  </si>
  <si>
    <t xml:space="preserve">PEP = Yes with missing details blocked</t>
  </si>
  <si>
    <t xml:space="preserve">PEP Yes, details empty</t>
  </si>
  <si>
    <t xml:space="preserve">1. Leave PEP detail fields blank
2. Continue</t>
  </si>
  <si>
    <t xml:space="preserve">Blocked with errors for each missing PEP field.</t>
  </si>
  <si>
    <t xml:space="preserve">KYC-010</t>
  </si>
  <si>
    <t xml:space="preserve">PEP = Yes with complete details accepted</t>
  </si>
  <si>
    <t xml:space="preserve">PEP Yes, all details</t>
  </si>
  <si>
    <t xml:space="preserve">1. Fill details
2. Continue</t>
  </si>
  <si>
    <t xml:space="preserve">Accepted; details persisted and visible on review.</t>
  </si>
  <si>
    <t xml:space="preserve">KYC-011</t>
  </si>
  <si>
    <t xml:space="preserve">PEP = No hides/clears conditional fields</t>
  </si>
  <si>
    <t xml:space="preserve">1. Select Yes, enter details
2. Switch to No
3. Continue
4. Review</t>
  </si>
  <si>
    <t xml:space="preserve">Conditional fields hidden; stale PEP details not submitted.</t>
  </si>
  <si>
    <t xml:space="preserve">KYC-012</t>
  </si>
  <si>
    <t xml:space="preserve">Required declarations / consent not ticked</t>
  </si>
  <si>
    <t xml:space="preserve">1. Leave declaration unticked
2. Continue</t>
  </si>
  <si>
    <t xml:space="preserve">Blocked with error.</t>
  </si>
  <si>
    <t xml:space="preserve">KYC-013</t>
  </si>
  <si>
    <t xml:space="preserve">Financial fields: negative, zero, non-numeric, huge</t>
  </si>
  <si>
    <t xml:space="preserve">income -1 ; 0 ; abc ; 1e12 ; decimals</t>
  </si>
  <si>
    <t xml:space="preserve">1. Enter each in income/net worth fields</t>
  </si>
  <si>
    <t xml:space="preserve">Invalid values rejected; valid decimals handled; no overflow/crash.</t>
  </si>
  <si>
    <t xml:space="preserve">R06</t>
  </si>
  <si>
    <t xml:space="preserve">Limits not documented</t>
  </si>
  <si>
    <t xml:space="preserve">KYC-014</t>
  </si>
  <si>
    <t xml:space="preserve">Affordability: premium vs income rule applied</t>
  </si>
  <si>
    <t xml:space="preserve">Product selected with premium</t>
  </si>
  <si>
    <t xml:space="preserve">Very low income with high-face-value product</t>
  </si>
  <si>
    <t xml:space="preserve">1. Enter low income
2. Select high premium product
3. Review</t>
  </si>
  <si>
    <t xml:space="preserve">Affordability/suitability warning or block per rule (risk: rule not applied).</t>
  </si>
  <si>
    <t xml:space="preserve">D-07 rules/values missing</t>
  </si>
  <si>
    <t xml:space="preserve">KYC-015</t>
  </si>
  <si>
    <t xml:space="preserve">Affordability: adequate income accepted</t>
  </si>
  <si>
    <t xml:space="preserve">High income, modest premium</t>
  </si>
  <si>
    <t xml:space="preserve">1. Enter high income
2. Review</t>
  </si>
  <si>
    <t xml:space="preserve">No affordability error; progress allowed.</t>
  </si>
  <si>
    <t xml:space="preserve">D-07</t>
  </si>
  <si>
    <t xml:space="preserve">KYC-016</t>
  </si>
  <si>
    <t xml:space="preserve">Changing income after product selected re-triggers suitability</t>
  </si>
  <si>
    <t xml:space="preserve">Product chosen</t>
  </si>
  <si>
    <t xml:space="preserve">1. Edit income lower
2. Go to Review</t>
  </si>
  <si>
    <t xml:space="preserve">Suitability re-evaluated; error appears when rule violated.</t>
  </si>
  <si>
    <t xml:space="preserve">KYC-017</t>
  </si>
  <si>
    <t xml:space="preserve">KYC data persists on draft save/resume</t>
  </si>
  <si>
    <t xml:space="preserve">1. Save draft
2. Resume</t>
  </si>
  <si>
    <t xml:space="preserve">All KYC/financial/PEP values present; masking retained.</t>
  </si>
  <si>
    <t xml:space="preserve">R05 R11</t>
  </si>
  <si>
    <t xml:space="preserve">KAPI-001</t>
  </si>
  <si>
    <t xml:space="preserve">API rejects PEP=true without details</t>
  </si>
  <si>
    <t xml:space="preserve">Draft app</t>
  </si>
  <si>
    <t xml:space="preserve">pep=true, details missing</t>
  </si>
  <si>
    <t xml:space="preserve">400/422 identifying missing PEP fields.</t>
  </si>
  <si>
    <t xml:space="preserve">04 Risk R05 R06</t>
  </si>
  <si>
    <t xml:space="preserve">KAPI-002</t>
  </si>
  <si>
    <t xml:space="preserve">API response masks sensitive ID</t>
  </si>
  <si>
    <t xml:space="preserve">1. GET application/KYC</t>
  </si>
  <si>
    <t xml:space="preserve">ID masked in response.</t>
  </si>
  <si>
    <t xml:space="preserve">KAPI-003</t>
  </si>
  <si>
    <t xml:space="preserve">API invalid financial values</t>
  </si>
  <si>
    <t xml:space="preserve">negative / string income</t>
  </si>
  <si>
    <t xml:space="preserve">KAPI-004</t>
  </si>
  <si>
    <t xml:space="preserve">API valid KYC/financial persisted</t>
  </si>
  <si>
    <t xml:space="preserve">1. Send then GET</t>
  </si>
  <si>
    <t xml:space="preserve">Data matches; UI consistent.</t>
  </si>
  <si>
    <t xml:space="preserve">PROD-001</t>
  </si>
  <si>
    <t xml:space="preserve">Select eligible Whole Life product</t>
  </si>
  <si>
    <t xml:space="preserve">Client age eligible; earlier steps complete</t>
  </si>
  <si>
    <t xml:space="preserve">Whole Life, valid face value</t>
  </si>
  <si>
    <t xml:space="preserve">1. Open Product step
2. Select Whole Life
3. Enter valid face value</t>
  </si>
  <si>
    <t xml:space="preserve">Product accepted; premium displayed.</t>
  </si>
  <si>
    <t xml:space="preserve">R07</t>
  </si>
  <si>
    <t xml:space="preserve">02 Workflow (Product/Riders); 04 Risk R07</t>
  </si>
  <si>
    <t xml:space="preserve">PROD-002</t>
  </si>
  <si>
    <t xml:space="preserve">Premium calculated and displayed</t>
  </si>
  <si>
    <t xml:space="preserve">Valid face value</t>
  </si>
  <si>
    <t xml:space="preserve">1. Enter face value
2. Observe premium</t>
  </si>
  <si>
    <t xml:space="preserve">Premium shown, numeric, currency-formatted; non-zero. Exact value cannot be asserted until formula supplied.</t>
  </si>
  <si>
    <t xml:space="preserve">D-07 premium formula</t>
  </si>
  <si>
    <t xml:space="preserve">PROD-003</t>
  </si>
  <si>
    <t xml:space="preserve">Face value below minimum</t>
  </si>
  <si>
    <t xml:space="preserve">min - 1</t>
  </si>
  <si>
    <t xml:space="preserve">1. Enter value just below minimum
2. Continue</t>
  </si>
  <si>
    <t xml:space="preserve">Rejected with limit message.</t>
  </si>
  <si>
    <t xml:space="preserve">D-07 min value</t>
  </si>
  <si>
    <t xml:space="preserve">PROD-004</t>
  </si>
  <si>
    <t xml:space="preserve">Face value exactly minimum</t>
  </si>
  <si>
    <t xml:space="preserve">min</t>
  </si>
  <si>
    <t xml:space="preserve">1. Enter minimum</t>
  </si>
  <si>
    <t xml:space="preserve">PROD-005</t>
  </si>
  <si>
    <t xml:space="preserve">Face value exactly maximum</t>
  </si>
  <si>
    <t xml:space="preserve">max</t>
  </si>
  <si>
    <t xml:space="preserve">1. Enter maximum</t>
  </si>
  <si>
    <t xml:space="preserve">PROD-006</t>
  </si>
  <si>
    <t xml:space="preserve">Face value above maximum</t>
  </si>
  <si>
    <t xml:space="preserve">max + 1</t>
  </si>
  <si>
    <t xml:space="preserve">1. Enter value above max
2. Continue</t>
  </si>
  <si>
    <t xml:space="preserve">PROD-007</t>
  </si>
  <si>
    <t xml:space="preserve">Face value invalid input</t>
  </si>
  <si>
    <t xml:space="preserve">0 ; -1000 ; abc ; blank ; 1.5 ; 1e9</t>
  </si>
  <si>
    <t xml:space="preserve">Rejected; no NaN premium; no server error.</t>
  </si>
  <si>
    <t xml:space="preserve">PROD-008</t>
  </si>
  <si>
    <t xml:space="preserve">Premium recalculates when face value changes</t>
  </si>
  <si>
    <t xml:space="preserve">two different face values</t>
  </si>
  <si>
    <t xml:space="preserve">1. Enter value A, note premium
2. Change to value B</t>
  </si>
  <si>
    <t xml:space="preserve">Premium updates immediately and monotonically (higher cover -&gt; higher premium).</t>
  </si>
  <si>
    <t xml:space="preserve">PROD-009</t>
  </si>
  <si>
    <t xml:space="preserve">Stale premium not retained after change and navigation</t>
  </si>
  <si>
    <t xml:space="preserve">1. Set value A, continue, go Back
2. Change to B, continue to Review</t>
  </si>
  <si>
    <t xml:space="preserve">Review/Confirmation premium equals current (B) premium, not stale A (risk: premium stale).</t>
  </si>
  <si>
    <t xml:space="preserve">PROD-010</t>
  </si>
  <si>
    <t xml:space="preserve">Premium changes when other drivers change (payment mode/term/DOB)</t>
  </si>
  <si>
    <t xml:space="preserve">payment frequency, term, DOB</t>
  </si>
  <si>
    <t xml:space="preserve">1. Change each driver in turn</t>
  </si>
  <si>
    <t xml:space="preserve">Premium recalculated each time; consistent between product, review and API.</t>
  </si>
  <si>
    <t xml:space="preserve">PROD-011</t>
  </si>
  <si>
    <t xml:space="preserve">Unsuitable product for client profile</t>
  </si>
  <si>
    <t xml:space="preserve">Client at edge of eligibility</t>
  </si>
  <si>
    <t xml:space="preserve">1. Select product not suitable for age/profile</t>
  </si>
  <si>
    <t xml:space="preserve">Blocked/hidden with reason (risk: ineligible product accepted).</t>
  </si>
  <si>
    <t xml:space="preserve">Rules TBC</t>
  </si>
  <si>
    <t xml:space="preserve">PROD-012</t>
  </si>
  <si>
    <t xml:space="preserve">Change client age after product -&gt; product eligibility rechecked</t>
  </si>
  <si>
    <t xml:space="preserve">1. Edit DOB to out-of-range
2. Return to product</t>
  </si>
  <si>
    <t xml:space="preserve">Product/eligibility invalidated.</t>
  </si>
  <si>
    <t xml:space="preserve">PROD-013</t>
  </si>
  <si>
    <t xml:space="preserve">Product selection persists on draft resume</t>
  </si>
  <si>
    <t xml:space="preserve">1. Save draft
2. Resume
3. Open Product</t>
  </si>
  <si>
    <t xml:space="preserve">Same product, face value and premium restored.</t>
  </si>
  <si>
    <t xml:space="preserve">R07 R11</t>
  </si>
  <si>
    <t xml:space="preserve">PAPI-001</t>
  </si>
  <si>
    <t xml:space="preserve">API premium equals UI premium</t>
  </si>
  <si>
    <t xml:space="preserve">Same inputs</t>
  </si>
  <si>
    <t xml:space="preserve">face value X</t>
  </si>
  <si>
    <t xml:space="preserve">1. Capture UI premium
2. Call product/premium service with same input</t>
  </si>
  <si>
    <t xml:space="preserve">Values identical.</t>
  </si>
  <si>
    <t xml:space="preserve">04 Risk R07; 03 Strategy (UI/API reconciliation)</t>
  </si>
  <si>
    <t xml:space="preserve">PAPI-002</t>
  </si>
  <si>
    <t xml:space="preserve">API face value below min / above max</t>
  </si>
  <si>
    <t xml:space="preserve">min-1 ; max+1</t>
  </si>
  <si>
    <t xml:space="preserve">400/422 with limit error.</t>
  </si>
  <si>
    <t xml:space="preserve">PAPI-003</t>
  </si>
  <si>
    <t xml:space="preserve">API ineligible product for client</t>
  </si>
  <si>
    <t xml:space="preserve">1. Send ineligible selection</t>
  </si>
  <si>
    <t xml:space="preserve">Rejected.</t>
  </si>
  <si>
    <t xml:space="preserve">PAPI-004</t>
  </si>
  <si>
    <t xml:space="preserve">API stale premium: update face value only</t>
  </si>
  <si>
    <t xml:space="preserve">1. Save product A
2. Update only face value
3. GET premium</t>
  </si>
  <si>
    <t xml:space="preserve">Premium recalculated for new face value.</t>
  </si>
  <si>
    <t xml:space="preserve">PAPI-005</t>
  </si>
  <si>
    <t xml:space="preserve">API invalid product payload</t>
  </si>
  <si>
    <t xml:space="preserve">missing fields, wrong types, unknown product code</t>
  </si>
  <si>
    <t xml:space="preserve">1. Send each</t>
  </si>
  <si>
    <t xml:space="preserve">400/422/404; no 500.</t>
  </si>
  <si>
    <t xml:space="preserve">RDR-001</t>
  </si>
  <si>
    <t xml:space="preserve">Add eligible rider</t>
  </si>
  <si>
    <t xml:space="preserve">Base product configured</t>
  </si>
  <si>
    <t xml:space="preserve">Eligible rider</t>
  </si>
  <si>
    <t xml:space="preserve">1. Open Riders
2. Add rider with valid coverage</t>
  </si>
  <si>
    <t xml:space="preserve">Rider added; premium updates.</t>
  </si>
  <si>
    <t xml:space="preserve">R08 R07</t>
  </si>
  <si>
    <t xml:space="preserve">02 Workflow; 03 Strategy s4; 04 Risk R08</t>
  </si>
  <si>
    <t xml:space="preserve">RDR-002</t>
  </si>
  <si>
    <t xml:space="preserve">Remove rider updates premium</t>
  </si>
  <si>
    <t xml:space="preserve">Rider added</t>
  </si>
  <si>
    <t xml:space="preserve">1. Remove rider</t>
  </si>
  <si>
    <t xml:space="preserve">Rider removed; premium returns to prior value.</t>
  </si>
  <si>
    <t xml:space="preserve">R08</t>
  </si>
  <si>
    <t xml:space="preserve">RDR-003</t>
  </si>
  <si>
    <t xml:space="preserve">Rider coverage exceeding base face value</t>
  </si>
  <si>
    <t xml:space="preserve">rider coverage &gt; base</t>
  </si>
  <si>
    <t xml:space="preserve">1. Enter rider coverage above base</t>
  </si>
  <si>
    <t xml:space="preserve">Rejected (risk: coverage exceeds base).</t>
  </si>
  <si>
    <t xml:space="preserve">RDR-004</t>
  </si>
  <si>
    <t xml:space="preserve">Rider coverage equal to base / just below / above</t>
  </si>
  <si>
    <t xml:space="preserve">Boundary honoured per rule.</t>
  </si>
  <si>
    <t xml:space="preserve">RDR-005</t>
  </si>
  <si>
    <t xml:space="preserve">Rider age rule - client outside rider age limits</t>
  </si>
  <si>
    <t xml:space="preserve">Client age outside rider limit</t>
  </si>
  <si>
    <t xml:space="preserve">1. Try adding rider</t>
  </si>
  <si>
    <t xml:space="preserve">Rider unavailable/rejected (risk: age rule fails).</t>
  </si>
  <si>
    <t xml:space="preserve">D-07 per-rider limits</t>
  </si>
  <si>
    <t xml:space="preserve">RDR-006</t>
  </si>
  <si>
    <t xml:space="preserve">Rider age rule - client at limit</t>
  </si>
  <si>
    <t xml:space="preserve">age = limit</t>
  </si>
  <si>
    <t xml:space="preserve">1. Add rider</t>
  </si>
  <si>
    <t xml:space="preserve">Accepted at limit; rejected at limit+1.</t>
  </si>
  <si>
    <t xml:space="preserve">RDR-007</t>
  </si>
  <si>
    <t xml:space="preserve">Max rider count exceeded</t>
  </si>
  <si>
    <t xml:space="preserve">limit+1 riders</t>
  </si>
  <si>
    <t xml:space="preserve">1. Add riders until limit
2. Add one more</t>
  </si>
  <si>
    <t xml:space="preserve">Extra rider blocked with message.</t>
  </si>
  <si>
    <t xml:space="preserve">D-07 max count</t>
  </si>
  <si>
    <t xml:space="preserve">RDR-008</t>
  </si>
  <si>
    <t xml:space="preserve">Dependent rider without prerequisite</t>
  </si>
  <si>
    <t xml:space="preserve">1. Add rider requiring another rider, without the prerequisite</t>
  </si>
  <si>
    <t xml:space="preserve">Blocked/prompted.</t>
  </si>
  <si>
    <t xml:space="preserve">RDR-009</t>
  </si>
  <si>
    <t xml:space="preserve">Removing prerequisite leaves orphan dependent rider</t>
  </si>
  <si>
    <t xml:space="preserve">1. Add both
2. Remove prerequisite</t>
  </si>
  <si>
    <t xml:space="preserve">Dependent rider removed or error shown.</t>
  </si>
  <si>
    <t xml:space="preserve">RDR-010</t>
  </si>
  <si>
    <t xml:space="preserve">Mutually exclusive riders coexist</t>
  </si>
  <si>
    <t xml:space="preserve">pair of exclusive riders</t>
  </si>
  <si>
    <t xml:space="preserve">1. Add rider A
2. Add rider B</t>
  </si>
  <si>
    <t xml:space="preserve">Second blocked (risk: incompatible riders coexist).</t>
  </si>
  <si>
    <t xml:space="preserve">RDR-011</t>
  </si>
  <si>
    <t xml:space="preserve">Duplicate same rider</t>
  </si>
  <si>
    <t xml:space="preserve">1. Add same rider twice</t>
  </si>
  <si>
    <t xml:space="preserve">Second add prevented.</t>
  </si>
  <si>
    <t xml:space="preserve">RDR-012</t>
  </si>
  <si>
    <t xml:space="preserve">Change base face value after riders added</t>
  </si>
  <si>
    <t xml:space="preserve">reduce base below rider coverage</t>
  </si>
  <si>
    <t xml:space="preserve">1. Lower base face value
2. Go to Review</t>
  </si>
  <si>
    <t xml:space="preserve">Rider coverage rule re-evaluated and error raised.</t>
  </si>
  <si>
    <t xml:space="preserve">R07 R08</t>
  </si>
  <si>
    <t xml:space="preserve">RDR-013</t>
  </si>
  <si>
    <t xml:space="preserve">Rider selection persists on resume</t>
  </si>
  <si>
    <t xml:space="preserve">1. Save draft
2. Resume
3. Open Riders</t>
  </si>
  <si>
    <t xml:space="preserve">Riders and coverages restored; premium same.</t>
  </si>
  <si>
    <t xml:space="preserve">R08 R11</t>
  </si>
  <si>
    <t xml:space="preserve">RDR-014</t>
  </si>
  <si>
    <t xml:space="preserve">No rider selected (optional)</t>
  </si>
  <si>
    <t xml:space="preserve">1. Continue with no riders</t>
  </si>
  <si>
    <t xml:space="preserve">Allowed; premium = base premium.</t>
  </si>
  <si>
    <t xml:space="preserve">RAPI-001</t>
  </si>
  <si>
    <t xml:space="preserve">API rejects rider coverage &gt; base</t>
  </si>
  <si>
    <t xml:space="preserve">04 Risk R08</t>
  </si>
  <si>
    <t xml:space="preserve">RAPI-002</t>
  </si>
  <si>
    <t xml:space="preserve">API rejects exclusive / duplicate / over-limit riders</t>
  </si>
  <si>
    <t xml:space="preserve">1. Send each combination</t>
  </si>
  <si>
    <t xml:space="preserve">400/422 with rule message.</t>
  </si>
  <si>
    <t xml:space="preserve">RAPI-003</t>
  </si>
  <si>
    <t xml:space="preserve">API rider age ineligible</t>
  </si>
  <si>
    <t xml:space="preserve">1. Send rider for ineligible age</t>
  </si>
  <si>
    <t xml:space="preserve">RAPI-004</t>
  </si>
  <si>
    <t xml:space="preserve">API valid riders persisted; premium reconciles with UI</t>
  </si>
  <si>
    <t xml:space="preserve">1. Add riders via API
2. GET premium and UI</t>
  </si>
  <si>
    <t xml:space="preserve">Data and premium identical.</t>
  </si>
  <si>
    <t xml:space="preserve">BEN-001</t>
  </si>
  <si>
    <t xml:space="preserve">Single primary beneficiary 100%</t>
  </si>
  <si>
    <t xml:space="preserve">Riders step done</t>
  </si>
  <si>
    <t xml:space="preserve">Adult primary, 100%</t>
  </si>
  <si>
    <t xml:space="preserve">1. Add beneficiary with 100%
2. Continue</t>
  </si>
  <si>
    <t xml:space="preserve">Accepted; moves to Documents.</t>
  </si>
  <si>
    <t xml:space="preserve">R09</t>
  </si>
  <si>
    <t xml:space="preserve">02 Workflow; 03 Strategy s4; 04 Risk R09</t>
  </si>
  <si>
    <t xml:space="preserve">BEN-002</t>
  </si>
  <si>
    <t xml:space="preserve">Multiple beneficiaries totaling 100%</t>
  </si>
  <si>
    <t xml:space="preserve">60% + 40%</t>
  </si>
  <si>
    <t xml:space="preserve">1. Add two beneficiaries
2. Continue</t>
  </si>
  <si>
    <t xml:space="preserve">BEN-003</t>
  </si>
  <si>
    <t xml:space="preserve">No primary beneficiary</t>
  </si>
  <si>
    <t xml:space="preserve">1. Continue with none</t>
  </si>
  <si>
    <t xml:space="preserve">Blocked: primary beneficiary required.</t>
  </si>
  <si>
    <t xml:space="preserve">BEN-004</t>
  </si>
  <si>
    <t xml:space="preserve">Total below 100%</t>
  </si>
  <si>
    <t xml:space="preserve">50% + 40%</t>
  </si>
  <si>
    <t xml:space="preserve">1. Add allocations
2. Continue</t>
  </si>
  <si>
    <t xml:space="preserve">Blocked with total error.</t>
  </si>
  <si>
    <t xml:space="preserve">BEN-005</t>
  </si>
  <si>
    <t xml:space="preserve">Total above 100%</t>
  </si>
  <si>
    <t xml:space="preserve">70% + 40%</t>
  </si>
  <si>
    <t xml:space="preserve">BEN-006</t>
  </si>
  <si>
    <t xml:space="preserve">Boundary totals 99 / 99.99 / 100 / 100.01 / 101</t>
  </si>
  <si>
    <t xml:space="preserve">single or multiple allocations</t>
  </si>
  <si>
    <t xml:space="preserve">1. Test each total</t>
  </si>
  <si>
    <t xml:space="preserve">Only exactly 100 accepted; rounding handled for e.g. 33.33+33.33+33.34.</t>
  </si>
  <si>
    <t xml:space="preserve">Decimal rule TBC</t>
  </si>
  <si>
    <t xml:space="preserve">BEN-007</t>
  </si>
  <si>
    <t xml:space="preserve">Invalid allocation values</t>
  </si>
  <si>
    <t xml:space="preserve">0 ; -10 ; abc ; blank ; 100.5 ; 101</t>
  </si>
  <si>
    <t xml:space="preserve">BEN-008</t>
  </si>
  <si>
    <t xml:space="preserve">Minor beneficiary requires guardian</t>
  </si>
  <si>
    <t xml:space="preserve">Beneficiary DOB &lt; 18 years, guardian blank</t>
  </si>
  <si>
    <t xml:space="preserve">1. Add minor
2. Continue</t>
  </si>
  <si>
    <t xml:space="preserve">Blocked: guardian details required (risk: guardian missing).</t>
  </si>
  <si>
    <t xml:space="preserve">Guardian rules TBC</t>
  </si>
  <si>
    <t xml:space="preserve">BEN-009</t>
  </si>
  <si>
    <t xml:space="preserve">Minor with complete guardian accepted</t>
  </si>
  <si>
    <t xml:space="preserve">minor + valid guardian</t>
  </si>
  <si>
    <t xml:space="preserve">1. Add minor with guardian</t>
  </si>
  <si>
    <t xml:space="preserve">Accepted; guardian persisted.</t>
  </si>
  <si>
    <t xml:space="preserve">BEN-010</t>
  </si>
  <si>
    <t xml:space="preserve">Adult beneficiary - guardian not required</t>
  </si>
  <si>
    <t xml:space="preserve">age 18+</t>
  </si>
  <si>
    <t xml:space="preserve">1. Add adult</t>
  </si>
  <si>
    <t xml:space="preserve">Guardian fields hidden/optional.</t>
  </si>
  <si>
    <t xml:space="preserve">BEN-011</t>
  </si>
  <si>
    <t xml:space="preserve">Beneficiary age boundary 17y364d vs 18y</t>
  </si>
  <si>
    <t xml:space="preserve">DOB at 18th birthday</t>
  </si>
  <si>
    <t xml:space="preserve">1. Add beneficiary exactly 18 and 17y364d</t>
  </si>
  <si>
    <t xml:space="preserve">17y364d treated as minor; 18 not minor.</t>
  </si>
  <si>
    <t xml:space="preserve">BEN-012</t>
  </si>
  <si>
    <t xml:space="preserve">Beneficiary future DOB</t>
  </si>
  <si>
    <t xml:space="preserve">tomorrow</t>
  </si>
  <si>
    <t xml:space="preserve">1. Add beneficiary</t>
  </si>
  <si>
    <t xml:space="preserve">BEN-013</t>
  </si>
  <si>
    <t xml:space="preserve">Duplicate beneficiary prevented</t>
  </si>
  <si>
    <t xml:space="preserve">same name, DOB, relationship</t>
  </si>
  <si>
    <t xml:space="preserve">1. Add beneficiary
2. Add identical one</t>
  </si>
  <si>
    <t xml:space="preserve">Second rejected (risk: duplicate accepted).</t>
  </si>
  <si>
    <t xml:space="preserve">Duplicate rule TBC</t>
  </si>
  <si>
    <t xml:space="preserve">BEN-014</t>
  </si>
  <si>
    <t xml:space="preserve">Remove beneficiary leaves total != 100</t>
  </si>
  <si>
    <t xml:space="preserve">Two beneficiaries 60/40</t>
  </si>
  <si>
    <t xml:space="preserve">1. Remove one
2. Continue / Review</t>
  </si>
  <si>
    <t xml:space="preserve">Error shown or total flagged; cannot proceed with 60% (risk: removal leaves invalid total).</t>
  </si>
  <si>
    <t xml:space="preserve">BEN-015</t>
  </si>
  <si>
    <t xml:space="preserve">Edit beneficiary allocation</t>
  </si>
  <si>
    <t xml:space="preserve">1. Edit a percentage
2. Save</t>
  </si>
  <si>
    <t xml:space="preserve">Totals recalculated and validated.</t>
  </si>
  <si>
    <t xml:space="preserve">BEN-016</t>
  </si>
  <si>
    <t xml:space="preserve">Mandatory beneficiary fields blank</t>
  </si>
  <si>
    <t xml:space="preserve">name / relationship / DOB blank</t>
  </si>
  <si>
    <t xml:space="preserve">1. Add with missing field</t>
  </si>
  <si>
    <t xml:space="preserve">Field errors.</t>
  </si>
  <si>
    <t xml:space="preserve">BEN-017</t>
  </si>
  <si>
    <t xml:space="preserve">Primary vs contingent allocation totals</t>
  </si>
  <si>
    <t xml:space="preserve">primary 100 + contingent 100</t>
  </si>
  <si>
    <t xml:space="preserve">1. Add both types</t>
  </si>
  <si>
    <t xml:space="preserve">Each category totals 100 independently per rule.</t>
  </si>
  <si>
    <t xml:space="preserve">Clarif-7</t>
  </si>
  <si>
    <t xml:space="preserve">BEN-018</t>
  </si>
  <si>
    <t xml:space="preserve">Trust / organization beneficiary</t>
  </si>
  <si>
    <t xml:space="preserve">1. Try adding non-person beneficiary</t>
  </si>
  <si>
    <t xml:space="preserve">Per rule (not documented).</t>
  </si>
  <si>
    <t xml:space="preserve">Clarif-7 - BLOCKED</t>
  </si>
  <si>
    <t xml:space="preserve">BEN-019</t>
  </si>
  <si>
    <t xml:space="preserve">Beneficiary persistence on resume</t>
  </si>
  <si>
    <t xml:space="preserve">All beneficiaries, percentages and guardians restored.</t>
  </si>
  <si>
    <t xml:space="preserve">R09 R11</t>
  </si>
  <si>
    <t xml:space="preserve">BEN-020</t>
  </si>
  <si>
    <t xml:space="preserve">Max beneficiaries count</t>
  </si>
  <si>
    <t xml:space="preserve">1. Add beneficiaries until limit</t>
  </si>
  <si>
    <t xml:space="preserve">Limit enforced per rule.</t>
  </si>
  <si>
    <t xml:space="preserve">Limit not documented</t>
  </si>
  <si>
    <t xml:space="preserve">BAPI-001</t>
  </si>
  <si>
    <t xml:space="preserve">API allocation total != 100</t>
  </si>
  <si>
    <t xml:space="preserve">total 90, 110</t>
  </si>
  <si>
    <t xml:space="preserve">400/422 on total.</t>
  </si>
  <si>
    <t xml:space="preserve">04 Risk R09</t>
  </si>
  <si>
    <t xml:space="preserve">BAPI-002</t>
  </si>
  <si>
    <t xml:space="preserve">API minor without guardian</t>
  </si>
  <si>
    <t xml:space="preserve">BAPI-003</t>
  </si>
  <si>
    <t xml:space="preserve">API duplicate beneficiary</t>
  </si>
  <si>
    <t xml:space="preserve">1. Send same beneficiary twice</t>
  </si>
  <si>
    <t xml:space="preserve">Second rejected/409.</t>
  </si>
  <si>
    <t xml:space="preserve">BAPI-004</t>
  </si>
  <si>
    <t xml:space="preserve">API valid beneficiaries persisted</t>
  </si>
  <si>
    <t xml:space="preserve">60/40</t>
  </si>
  <si>
    <t xml:space="preserve">Matches UI.</t>
  </si>
  <si>
    <t xml:space="preserve">BAPI-005</t>
  </si>
  <si>
    <t xml:space="preserve">API delete beneficiary validates remaining total</t>
  </si>
  <si>
    <t xml:space="preserve">1. DELETE one beneficiary
2. Validate/submit</t>
  </si>
  <si>
    <t xml:space="preserve">Validation error reported for total.</t>
  </si>
  <si>
    <t xml:space="preserve">DOC-001</t>
  </si>
  <si>
    <t xml:space="preserve">Required documents list shown</t>
  </si>
  <si>
    <t xml:space="preserve">Beneficiaries step done</t>
  </si>
  <si>
    <t xml:space="preserve">1. Open Documents</t>
  </si>
  <si>
    <t xml:space="preserve">Required documents and statuses displayed.</t>
  </si>
  <si>
    <t xml:space="preserve">R10</t>
  </si>
  <si>
    <t xml:space="preserve">D-08 mandatory list</t>
  </si>
  <si>
    <t xml:space="preserve">02 Workflow; 03 Strategy s4; 04 Risk R10</t>
  </si>
  <si>
    <t xml:space="preserve">DOC-002</t>
  </si>
  <si>
    <t xml:space="preserve">Upload valid PDF</t>
  </si>
  <si>
    <t xml:space="preserve">valid PDF within limit</t>
  </si>
  <si>
    <t xml:space="preserve">1. Upload</t>
  </si>
  <si>
    <t xml:space="preserve">Upload success; status Uploaded; file name shown.</t>
  </si>
  <si>
    <t xml:space="preserve">DOC-003</t>
  </si>
  <si>
    <t xml:space="preserve">Upload valid JPG and PNG</t>
  </si>
  <si>
    <t xml:space="preserve">.jpg .png</t>
  </si>
  <si>
    <t xml:space="preserve">1. Upload each</t>
  </si>
  <si>
    <t xml:space="preserve">DOC-004</t>
  </si>
  <si>
    <t xml:space="preserve">Unsupported file type rejected</t>
  </si>
  <si>
    <t xml:space="preserve">.exe .zip .js .html .bat</t>
  </si>
  <si>
    <t xml:space="preserve">Rejected with message; not marked uploaded.</t>
  </si>
  <si>
    <t xml:space="preserve">DOC-005</t>
  </si>
  <si>
    <t xml:space="preserve">Double extension / disguised executable</t>
  </si>
  <si>
    <t xml:space="preserve">invoice.pdf.exe ; exe renamed .pdf</t>
  </si>
  <si>
    <t xml:space="preserve">Rejected or flagged; content type validated (if rule exists).</t>
  </si>
  <si>
    <t xml:space="preserve">Clarif-8 content validation</t>
  </si>
  <si>
    <t xml:space="preserve">DOC-006</t>
  </si>
  <si>
    <t xml:space="preserve">File exactly at size limit</t>
  </si>
  <si>
    <t xml:space="preserve">limit size</t>
  </si>
  <si>
    <t xml:space="preserve">D-08 limit</t>
  </si>
  <si>
    <t xml:space="preserve">DOC-007</t>
  </si>
  <si>
    <t xml:space="preserve">File just above size limit</t>
  </si>
  <si>
    <t xml:space="preserve">limit+1 byte / large file</t>
  </si>
  <si>
    <t xml:space="preserve">Rejected with size message (risk: oversized accepted).</t>
  </si>
  <si>
    <t xml:space="preserve">DOC-008</t>
  </si>
  <si>
    <t xml:space="preserve">Zero-byte / corrupted file</t>
  </si>
  <si>
    <t xml:space="preserve">0 KB PDF; corrupted image</t>
  </si>
  <si>
    <t xml:space="preserve">DOC-009</t>
  </si>
  <si>
    <t xml:space="preserve">Missing required document blocks submission</t>
  </si>
  <si>
    <t xml:space="preserve">skip a mandatory doc</t>
  </si>
  <si>
    <t xml:space="preserve">1. Continue to Review
2. Attempt submit</t>
  </si>
  <si>
    <t xml:space="preserve">Review error for missing doc; Submit disabled.</t>
  </si>
  <si>
    <t xml:space="preserve">R10 R11</t>
  </si>
  <si>
    <t xml:space="preserve">DOC-010</t>
  </si>
  <si>
    <t xml:space="preserve">Upload status indicators</t>
  </si>
  <si>
    <t xml:space="preserve">large file</t>
  </si>
  <si>
    <t xml:space="preserve">1. Upload and observe progress/uploaded/failed</t>
  </si>
  <si>
    <t xml:space="preserve">Correct state transitions; failed state offers retry.</t>
  </si>
  <si>
    <t xml:space="preserve">DOC-011</t>
  </si>
  <si>
    <t xml:space="preserve">Replace uploaded document</t>
  </si>
  <si>
    <t xml:space="preserve">1. Upload again to replace</t>
  </si>
  <si>
    <t xml:space="preserve">Old file replaced; one entry.</t>
  </si>
  <si>
    <t xml:space="preserve">DOC-012</t>
  </si>
  <si>
    <t xml:space="preserve">Delete uploaded document</t>
  </si>
  <si>
    <t xml:space="preserve">1. Delete
2. Check review</t>
  </si>
  <si>
    <t xml:space="preserve">Status returns to Missing; review error appears.</t>
  </si>
  <si>
    <t xml:space="preserve">DOC-013</t>
  </si>
  <si>
    <t xml:space="preserve">Filename special characters / long names</t>
  </si>
  <si>
    <t xml:space="preserve">unicode, spaces, 255+ chars</t>
  </si>
  <si>
    <t xml:space="preserve">Handled safely.</t>
  </si>
  <si>
    <t xml:space="preserve">DOC-014</t>
  </si>
  <si>
    <t xml:space="preserve">Upload network interruption</t>
  </si>
  <si>
    <t xml:space="preserve">1. Go offline mid-upload</t>
  </si>
  <si>
    <t xml:space="preserve">Failure shown; no false 'Uploaded'.</t>
  </si>
  <si>
    <t xml:space="preserve">DOC-015</t>
  </si>
  <si>
    <t xml:space="preserve">Documents persist after resume</t>
  </si>
  <si>
    <t xml:space="preserve">Uploaded documents and statuses retained.</t>
  </si>
  <si>
    <t xml:space="preserve">DAPI2-001</t>
  </si>
  <si>
    <t xml:space="preserve">API upload unsupported type</t>
  </si>
  <si>
    <t xml:space="preserve">.exe</t>
  </si>
  <si>
    <t xml:space="preserve">1. POST document</t>
  </si>
  <si>
    <t xml:space="preserve">400/415.</t>
  </si>
  <si>
    <t xml:space="preserve">04 Risk R10</t>
  </si>
  <si>
    <t xml:space="preserve">DAPI2-002</t>
  </si>
  <si>
    <t xml:space="preserve">API upload oversized file</t>
  </si>
  <si>
    <t xml:space="preserve">limit+1</t>
  </si>
  <si>
    <t xml:space="preserve">1. POST</t>
  </si>
  <si>
    <t xml:space="preserve">413/400.</t>
  </si>
  <si>
    <t xml:space="preserve">DAPI2-003</t>
  </si>
  <si>
    <t xml:space="preserve">API upload valid file and list documents</t>
  </si>
  <si>
    <t xml:space="preserve">valid PDF</t>
  </si>
  <si>
    <t xml:space="preserve">1. POST
2. GET documents</t>
  </si>
  <si>
    <t xml:space="preserve">201; list shows file and status.</t>
  </si>
  <si>
    <t xml:space="preserve">DAPI2-004</t>
  </si>
  <si>
    <t xml:space="preserve">API upload without auth / to other user's application</t>
  </si>
  <si>
    <t xml:space="preserve">401/403.</t>
  </si>
  <si>
    <t xml:space="preserve">R10 R02</t>
  </si>
  <si>
    <t xml:space="preserve">REV-001</t>
  </si>
  <si>
    <t xml:space="preserve">Review shows all captured data</t>
  </si>
  <si>
    <t xml:space="preserve">All sections complete</t>
  </si>
  <si>
    <t xml:space="preserve">1. Open /review</t>
  </si>
  <si>
    <t xml:space="preserve">All sections present with correct values (ID masked).</t>
  </si>
  <si>
    <t xml:space="preserve">02 Workflow (Review/Submit); 04 Risk R11</t>
  </si>
  <si>
    <t xml:space="preserve">REV-002</t>
  </si>
  <si>
    <t xml:space="preserve">Errors grouped by section</t>
  </si>
  <si>
    <t xml:space="preserve">Application with errors in several sections</t>
  </si>
  <si>
    <t xml:space="preserve">1. Open Review</t>
  </si>
  <si>
    <t xml:space="preserve">Errors grouped by module (Client, KYC, Product, Beneficiaries, Documents...).</t>
  </si>
  <si>
    <t xml:space="preserve">REV-003</t>
  </si>
  <si>
    <t xml:space="preserve">Error link navigates to source field</t>
  </si>
  <si>
    <t xml:space="preserve">1. Click each error</t>
  </si>
  <si>
    <t xml:space="preserve">Navigates to correct step/field.</t>
  </si>
  <si>
    <t xml:space="preserve">REV-004</t>
  </si>
  <si>
    <t xml:space="preserve">Submit disabled until valid</t>
  </si>
  <si>
    <t xml:space="preserve">Incomplete application</t>
  </si>
  <si>
    <t xml:space="preserve">1. Observe Submit</t>
  </si>
  <si>
    <t xml:space="preserve">Disabled (risk: enabled incorrectly).</t>
  </si>
  <si>
    <t xml:space="preserve">REV-005</t>
  </si>
  <si>
    <t xml:space="preserve">Fix errors enables Submit</t>
  </si>
  <si>
    <t xml:space="preserve">1. Resolve every error
2. Return to Review</t>
  </si>
  <si>
    <t xml:space="preserve">Errors cleared; Submit enabled.</t>
  </si>
  <si>
    <t xml:space="preserve">REV-006</t>
  </si>
  <si>
    <t xml:space="preserve">Re-introduce error disables Submit again</t>
  </si>
  <si>
    <t xml:space="preserve">1. Edit field to invalid value
2. Review</t>
  </si>
  <si>
    <t xml:space="preserve">Submit disabled again.</t>
  </si>
  <si>
    <t xml:space="preserve">REV-007</t>
  </si>
  <si>
    <t xml:space="preserve">Successful submission shows confirmation + reference</t>
  </si>
  <si>
    <t xml:space="preserve">Valid complete application</t>
  </si>
  <si>
    <t xml:space="preserve">1. Click Submit</t>
  </si>
  <si>
    <t xml:space="preserve">Confirmation page with unique reference; status Submitted.</t>
  </si>
  <si>
    <t xml:space="preserve">R11 R12</t>
  </si>
  <si>
    <t xml:space="preserve">REV-008</t>
  </si>
  <si>
    <t xml:space="preserve">Reference number format and uniqueness</t>
  </si>
  <si>
    <t xml:space="preserve">two submissions</t>
  </si>
  <si>
    <t xml:space="preserve">1. Submit two applications</t>
  </si>
  <si>
    <t xml:space="preserve">References unique and match documented format.</t>
  </si>
  <si>
    <t xml:space="preserve">R12</t>
  </si>
  <si>
    <t xml:space="preserve">Format TBC</t>
  </si>
  <si>
    <t xml:space="preserve">REV-009</t>
  </si>
  <si>
    <t xml:space="preserve">Double-click / repeat submit</t>
  </si>
  <si>
    <t xml:space="preserve">1. Double click Submit; refresh on confirmation</t>
  </si>
  <si>
    <t xml:space="preserve">Only one submission; no duplicate reference.</t>
  </si>
  <si>
    <t xml:space="preserve">REV-010</t>
  </si>
  <si>
    <t xml:space="preserve">Submitted application is read-only</t>
  </si>
  <si>
    <t xml:space="preserve">Submitted</t>
  </si>
  <si>
    <t xml:space="preserve">1. Open each step URL for submitted app
2. Try to edit/save</t>
  </si>
  <si>
    <t xml:space="preserve">Fields disabled; Save and Submit unavailable (risk: submitted record editable).</t>
  </si>
  <si>
    <t xml:space="preserve">REV-011</t>
  </si>
  <si>
    <t xml:space="preserve">Browser Back after submit</t>
  </si>
  <si>
    <t xml:space="preserve">1. Press Back from confirmation</t>
  </si>
  <si>
    <t xml:space="preserve">No re-submission or editing possible.</t>
  </si>
  <si>
    <t xml:space="preserve">REV-012</t>
  </si>
  <si>
    <t xml:space="preserve">Submit with expired session</t>
  </si>
  <si>
    <t xml:space="preserve">1. Expire/clear session
2. Submit</t>
  </si>
  <si>
    <t xml:space="preserve">Redirect to login; no partial state.</t>
  </si>
  <si>
    <t xml:space="preserve">R01 R11</t>
  </si>
  <si>
    <t xml:space="preserve">REV-013</t>
  </si>
  <si>
    <t xml:space="preserve">Save draft with incomplete data</t>
  </si>
  <si>
    <t xml:space="preserve">1. Click Save Draft from any step</t>
  </si>
  <si>
    <t xml:space="preserve">Draft saved; Draft status on dashboard.</t>
  </si>
  <si>
    <t xml:space="preserve">REV-014</t>
  </si>
  <si>
    <t xml:space="preserve">Draft data not lost across navigation</t>
  </si>
  <si>
    <t xml:space="preserve">1. Fill data
2. Navigate between steps / review</t>
  </si>
  <si>
    <t xml:space="preserve">No data loss (risk: draft data lost).</t>
  </si>
  <si>
    <t xml:space="preserve">REV-015</t>
  </si>
  <si>
    <t xml:space="preserve">Direct URL jump to /review or /confirmation with incomplete app</t>
  </si>
  <si>
    <t xml:space="preserve">1. Open /confirmation or /status directly for draft</t>
  </si>
  <si>
    <t xml:space="preserve">No confirmation shown; redirected/blocked.</t>
  </si>
  <si>
    <t xml:space="preserve">RAPI2-001</t>
  </si>
  <si>
    <t xml:space="preserve">Validation service returns grouped errors</t>
  </si>
  <si>
    <t xml:space="preserve">Incomplete app</t>
  </si>
  <si>
    <t xml:space="preserve">1. Call validation service</t>
  </si>
  <si>
    <t xml:space="preserve">Errors grouped per module, matching UI.</t>
  </si>
  <si>
    <t xml:space="preserve">04 Risk R11</t>
  </si>
  <si>
    <t xml:space="preserve">RAPI2-002</t>
  </si>
  <si>
    <t xml:space="preserve">Submit incomplete application via API</t>
  </si>
  <si>
    <t xml:space="preserve">1. POST submit</t>
  </si>
  <si>
    <t xml:space="preserve">400/422; status stays Draft (UI-only validation = defect).</t>
  </si>
  <si>
    <t xml:space="preserve">RAPI2-003</t>
  </si>
  <si>
    <t xml:space="preserve">Submit valid application via API</t>
  </si>
  <si>
    <t xml:space="preserve">200; reference returned; status Submitted.</t>
  </si>
  <si>
    <t xml:space="preserve">RAPI2-004</t>
  </si>
  <si>
    <t xml:space="preserve">Submit twice (idempotency)</t>
  </si>
  <si>
    <t xml:space="preserve">1. POST submit twice</t>
  </si>
  <si>
    <t xml:space="preserve">Second call rejected/idempotent; one reference.</t>
  </si>
  <si>
    <t xml:space="preserve">RAPI2-005</t>
  </si>
  <si>
    <t xml:space="preserve">Edit submitted application via any API</t>
  </si>
  <si>
    <t xml:space="preserve">1. PUT client/product/beneficiary after submit</t>
  </si>
  <si>
    <t xml:space="preserve">Rejected 403/409.</t>
  </si>
  <si>
    <t xml:space="preserve">RAPI2-006</t>
  </si>
  <si>
    <t xml:space="preserve">Mass assignment: set status/reference in payload</t>
  </si>
  <si>
    <t xml:space="preserve">status=Submitted in body</t>
  </si>
  <si>
    <t xml:space="preserve">1. Send update</t>
  </si>
  <si>
    <t xml:space="preserve">Field ignored/rejected.</t>
  </si>
  <si>
    <t xml:space="preserve">STAT-001</t>
  </si>
  <si>
    <t xml:space="preserve">Status page shows Submitted and reference</t>
  </si>
  <si>
    <t xml:space="preserve">1. Open /applications/:id/status</t>
  </si>
  <si>
    <t xml:space="preserve">Status, reference and timestamps displayed.</t>
  </si>
  <si>
    <t xml:space="preserve">02 Workflow (Confirmation/Status); 04 Risk R12</t>
  </si>
  <si>
    <t xml:space="preserve">STAT-002</t>
  </si>
  <si>
    <t xml:space="preserve">Reference identical on confirmation, dashboard and status</t>
  </si>
  <si>
    <t xml:space="preserve">1. Compare three places</t>
  </si>
  <si>
    <t xml:space="preserve">Same reference everywhere (risk: reference missing).</t>
  </si>
  <si>
    <t xml:space="preserve">STAT-003</t>
  </si>
  <si>
    <t xml:space="preserve">UI status equals API status</t>
  </si>
  <si>
    <t xml:space="preserve">1. Read UI status
2. GET status service</t>
  </si>
  <si>
    <t xml:space="preserve">Identical.</t>
  </si>
  <si>
    <t xml:space="preserve">STAT-004</t>
  </si>
  <si>
    <t xml:space="preserve">Status history / transitions after submission</t>
  </si>
  <si>
    <t xml:space="preserve">1. View history if available</t>
  </si>
  <si>
    <t xml:space="preserve">Transitions in valid order per matrix.</t>
  </si>
  <si>
    <t xml:space="preserve">D-08 transition matrix</t>
  </si>
  <si>
    <t xml:space="preserve">STAT-005</t>
  </si>
  <si>
    <t xml:space="preserve">Status of draft application</t>
  </si>
  <si>
    <t xml:space="preserve">Draft</t>
  </si>
  <si>
    <t xml:space="preserve">1. Open status</t>
  </si>
  <si>
    <t xml:space="preserve">Draft shown, no reference.</t>
  </si>
  <si>
    <t xml:space="preserve">STAT-006</t>
  </si>
  <si>
    <t xml:space="preserve">Other agent cannot view status</t>
  </si>
  <si>
    <t xml:space="preserve">1. Open another agent's status URL</t>
  </si>
  <si>
    <t xml:space="preserve">Denied.</t>
  </si>
  <si>
    <t xml:space="preserve">STAT-007</t>
  </si>
  <si>
    <t xml:space="preserve">Status refresh stays consistent</t>
  </si>
  <si>
    <t xml:space="preserve">1. Refresh status page
2. Return to dashboard</t>
  </si>
  <si>
    <t xml:space="preserve">Consistent.</t>
  </si>
  <si>
    <t xml:space="preserve">SAPI-001</t>
  </si>
  <si>
    <t xml:space="preserve">Status API for submitted app</t>
  </si>
  <si>
    <t xml:space="preserve">1. GET status</t>
  </si>
  <si>
    <t xml:space="preserve">Status Submitted + reference; schema valid.</t>
  </si>
  <si>
    <t xml:space="preserve">04 Risk R12</t>
  </si>
  <si>
    <t xml:space="preserve">SAPI-002</t>
  </si>
  <si>
    <t xml:space="preserve">Status API for draft / unknown / other user's app</t>
  </si>
  <si>
    <t xml:space="preserve">1. GET each</t>
  </si>
  <si>
    <t xml:space="preserve">Draft state / 404 / 403 respectively.</t>
  </si>
  <si>
    <t xml:space="preserve">R12 R02</t>
  </si>
  <si>
    <t xml:space="preserve">DB-001</t>
  </si>
  <si>
    <t xml:space="preserve">Draft persisted correctly in DB</t>
  </si>
  <si>
    <t xml:space="preserve">Read-only DB access</t>
  </si>
  <si>
    <t xml:space="preserve">1. Save draft
2. Run approved query</t>
  </si>
  <si>
    <t xml:space="preserve">Row values match UI.</t>
  </si>
  <si>
    <t xml:space="preserve">D-06 BLOCKED</t>
  </si>
  <si>
    <t xml:space="preserve">03 Strategy (Database layer). ALL BLOCKED until D-06 supplied</t>
  </si>
  <si>
    <t xml:space="preserve">DB-002</t>
  </si>
  <si>
    <t xml:space="preserve">Submitted record stored with reference and status</t>
  </si>
  <si>
    <t xml:space="preserve">1. Submit
2. Query</t>
  </si>
  <si>
    <t xml:space="preserve">Status = Submitted; reference matches UI.</t>
  </si>
  <si>
    <t xml:space="preserve">DB-003</t>
  </si>
  <si>
    <t xml:space="preserve">Beneficiary totals = 100 in DB</t>
  </si>
  <si>
    <t xml:space="preserve">1. Query sum of allocations</t>
  </si>
  <si>
    <t xml:space="preserve">Equals 100 per category.</t>
  </si>
  <si>
    <t xml:space="preserve">DB-004</t>
  </si>
  <si>
    <t xml:space="preserve">Status history rows recorded</t>
  </si>
  <si>
    <t xml:space="preserve">1. Query status history</t>
  </si>
  <si>
    <t xml:space="preserve">Chronological and complete.</t>
  </si>
  <si>
    <t xml:space="preserve">DB-005</t>
  </si>
  <si>
    <t xml:space="preserve">Sensitive ID stored securely</t>
  </si>
  <si>
    <t xml:space="preserve">1. Inspect ID column</t>
  </si>
  <si>
    <t xml:space="preserve">Not plain text (if rule).</t>
  </si>
  <si>
    <t xml:space="preserve">NAV-001</t>
  </si>
  <si>
    <t xml:space="preserve">Step navigation forward/back retains data</t>
  </si>
  <si>
    <t xml:space="preserve">Application in progress</t>
  </si>
  <si>
    <t xml:space="preserve">1. Move through steps with Continue/Back and step menu</t>
  </si>
  <si>
    <t xml:space="preserve">Data retained; correct step highlighted.</t>
  </si>
  <si>
    <t xml:space="preserve">02 Workflow s4 (Documented Routes)</t>
  </si>
  <si>
    <t xml:space="preserve">NAV-002</t>
  </si>
  <si>
    <t xml:space="preserve">Skip-ahead via URL to later step</t>
  </si>
  <si>
    <t xml:space="preserve">Draft at client step</t>
  </si>
  <si>
    <t xml:space="preserve">1. Open /documents or /review URL directly</t>
  </si>
  <si>
    <t xml:space="preserve">Blocked/redirected, or shows validation errors; no corrupt state.</t>
  </si>
  <si>
    <t xml:space="preserve">NAV-003</t>
  </si>
  <si>
    <t xml:space="preserve">All documented routes resolve</t>
  </si>
  <si>
    <t xml:space="preserve">Logged in, valid id</t>
  </si>
  <si>
    <t xml:space="preserve">/login /dashboard /applications/new /:id /client /address-contact /kyc-financial /product /riders /beneficiaries /documents /review /confirmation /status</t>
  </si>
  <si>
    <t xml:space="preserve">1. Open each route</t>
  </si>
  <si>
    <t xml:space="preserve">Each loads without error with right content.</t>
  </si>
  <si>
    <t xml:space="preserve">NAV-004</t>
  </si>
  <si>
    <t xml:space="preserve">Browser refresh on each step</t>
  </si>
  <si>
    <t xml:space="preserve">1. Refresh on every step</t>
  </si>
  <si>
    <t xml:space="preserve">State reloads without loss or error.</t>
  </si>
  <si>
    <t xml:space="preserve">NAV-005</t>
  </si>
  <si>
    <t xml:space="preserve">Two tabs editing same application</t>
  </si>
  <si>
    <t xml:space="preserve">1. Edit in tab 1 and tab 2
2. Save both</t>
  </si>
  <si>
    <t xml:space="preserve">No silent data corruption; last-write behaviour documented.</t>
  </si>
  <si>
    <t xml:space="preserve">E2E-001</t>
  </si>
  <si>
    <t xml:space="preserve">Happy path: login to status tracking</t>
  </si>
  <si>
    <t xml:space="preserve">agent.valid with clean state</t>
  </si>
  <si>
    <t xml:space="preserve">1. Login
2. New Application
3. Complete Client, Address, KYC, Product, Riders, Beneficiaries(100%), Documents
4. Review - zero errors
5. Submit
6. Confirm reference
7. Check status page &amp; dashboard
8. Verify via API</t>
  </si>
  <si>
    <t xml:space="preserve">Application Submitted; reference consistent in UI and API; read-only.</t>
  </si>
  <si>
    <t xml:space="preserve">All</t>
  </si>
  <si>
    <t xml:space="preserve">02 Workflow s1-2; 03 Strategy s3; 04 Risk</t>
  </si>
  <si>
    <t xml:space="preserve">E2E-002</t>
  </si>
  <si>
    <t xml:space="preserve">E2E with riders, multiple beneficiaries and minor guardian</t>
  </si>
  <si>
    <t xml:space="preserve">1. Run full flow with 2 riders and 3 beneficiaries including minor with guardian</t>
  </si>
  <si>
    <t xml:space="preserve">Submit succeeds; all data on review correct.</t>
  </si>
  <si>
    <t xml:space="preserve">R08 R09</t>
  </si>
  <si>
    <t xml:space="preserve">E2E-003</t>
  </si>
  <si>
    <t xml:space="preserve">Draft flow: save, logout, resume, submit</t>
  </si>
  <si>
    <t xml:space="preserve">1. Save draft mid-way
2. Logout, login
3. Resume
4. Complete and submit</t>
  </si>
  <si>
    <t xml:space="preserve">Persisted data validated; submission succeeds.</t>
  </si>
  <si>
    <t xml:space="preserve">E2E-004</t>
  </si>
  <si>
    <t xml:space="preserve">Negative-to-positive: errors on review then fix then submit</t>
  </si>
  <si>
    <t xml:space="preserve">1. Create invalid app (missing doc, 90% allocation, rider issue)
2. Review shows grouped errors
3. Fix each via links
4. Submit</t>
  </si>
  <si>
    <t xml:space="preserve">Submit enabled only after all fixed.</t>
  </si>
  <si>
    <t xml:space="preserve">E2E-005</t>
  </si>
  <si>
    <t xml:space="preserve">New agent first-run journey</t>
  </si>
  <si>
    <t xml:space="preserve">1. Login
2. Empty dashboard
3. Create and submit application</t>
  </si>
  <si>
    <t xml:space="preserve">Works from clean state.</t>
  </si>
  <si>
    <t xml:space="preserve">E2E-006</t>
  </si>
  <si>
    <t xml:space="preserve">UI submit then API reconciliation</t>
  </si>
  <si>
    <t xml:space="preserve">1. Submit via UI
2. GET application/status via API</t>
  </si>
  <si>
    <t xml:space="preserve">All fields and statuses match.</t>
  </si>
  <si>
    <t xml:space="preserve">E2E-007</t>
  </si>
  <si>
    <t xml:space="preserve">Submitted agent regression: view only</t>
  </si>
  <si>
    <t xml:space="preserve">1. Login
2. Open submitted
3. Check status, read-only</t>
  </si>
  <si>
    <t xml:space="preserve">No edits possible; status consistent.</t>
  </si>
  <si>
    <t xml:space="preserve">E2E-008</t>
  </si>
  <si>
    <t xml:space="preserve">Smoke: critical-path sanity</t>
  </si>
  <si>
    <t xml:space="preserve">1. Login
2. Open dashboard
3. Create draft
4. Open each step
5. Logout</t>
  </si>
  <si>
    <t xml:space="preserve">No blocking errors in 5-min smoke pass.</t>
  </si>
  <si>
    <t xml:space="preserve">GAPI-001</t>
  </si>
  <si>
    <t xml:space="preserve">Standard error structure consistent</t>
  </si>
  <si>
    <t xml:space="preserve">1. Trigger 400, 401, 403, 404, 422 across services</t>
  </si>
  <si>
    <t xml:space="preserve">Same error JSON shape; no stack traces.</t>
  </si>
  <si>
    <t xml:space="preserve">Clarif-9</t>
  </si>
  <si>
    <t xml:space="preserve">03 Strategy (Backend/API)</t>
  </si>
  <si>
    <t xml:space="preserve">GAPI-002</t>
  </si>
  <si>
    <t xml:space="preserve">Malformed JSON / wrong Content-Type</t>
  </si>
  <si>
    <t xml:space="preserve">1. Send invalid JSON and wrong content type</t>
  </si>
  <si>
    <t xml:space="preserve">GAPI-003</t>
  </si>
  <si>
    <t xml:space="preserve">Unsupported HTTP method</t>
  </si>
  <si>
    <t xml:space="preserve">1. DELETE on read-only endpoint</t>
  </si>
  <si>
    <t xml:space="preserve">405.</t>
  </si>
  <si>
    <t xml:space="preserve">GAPI-004</t>
  </si>
  <si>
    <t xml:space="preserve">Response schema validation</t>
  </si>
  <si>
    <t xml:space="preserve">1. Validate each response vs contract</t>
  </si>
  <si>
    <t xml:space="preserve">Matches schema; types correct.</t>
  </si>
  <si>
    <t xml:space="preserve">D-05 schemas</t>
  </si>
  <si>
    <t xml:space="preserve">GAPI-005</t>
  </si>
  <si>
    <t xml:space="preserve">SQL/script payload in API fields</t>
  </si>
  <si>
    <t xml:space="preserve">1. Send payloads in strings</t>
  </si>
  <si>
    <t xml:space="preserve">Safe handling; no 500.</t>
  </si>
  <si>
    <t xml:space="preserve">GAPI-006</t>
  </si>
  <si>
    <t xml:space="preserve">Response time baseline</t>
  </si>
  <si>
    <t xml:space="preserve">1. Measure key endpoints</t>
  </si>
  <si>
    <t xml:space="preserve">Within agreed baseline.</t>
  </si>
  <si>
    <t xml:space="preserve">R15</t>
  </si>
  <si>
    <t xml:space="preserve">Targets not supplied</t>
  </si>
  <si>
    <t xml:space="preserve">NFR-001</t>
  </si>
  <si>
    <t xml:space="preserve">Cross-browser smoke</t>
  </si>
  <si>
    <t xml:space="preserve">Chrome, Firefox, Edge, WebKit</t>
  </si>
  <si>
    <t xml:space="preserve">1. Run smoke per browser</t>
  </si>
  <si>
    <t xml:space="preserve">Consistent behaviour.</t>
  </si>
  <si>
    <t xml:space="preserve">R13</t>
  </si>
  <si>
    <t xml:space="preserve">Browser matrix TBC</t>
  </si>
  <si>
    <t xml:space="preserve">04 Risk R13-R15; 04 s3 missing inputs</t>
  </si>
  <si>
    <t xml:space="preserve">NFR-002</t>
  </si>
  <si>
    <t xml:space="preserve">Responsive layout</t>
  </si>
  <si>
    <t xml:space="preserve">desktop / tablet / mobile widths</t>
  </si>
  <si>
    <t xml:space="preserve">1. Resize viewport on key pages</t>
  </si>
  <si>
    <t xml:space="preserve">No overlap, usable controls.</t>
  </si>
  <si>
    <t xml:space="preserve">NFR-003</t>
  </si>
  <si>
    <t xml:space="preserve">Keyboard navigation and labels</t>
  </si>
  <si>
    <t xml:space="preserve">1. Tab through login and a form</t>
  </si>
  <si>
    <t xml:space="preserve">Logical order, visible focus, labels present.</t>
  </si>
  <si>
    <t xml:space="preserve">NFR-004</t>
  </si>
  <si>
    <t xml:space="preserve">Stable locators / environment health pre-check</t>
  </si>
  <si>
    <t xml:space="preserve">all seed users</t>
  </si>
  <si>
    <t xml:space="preserve">1. Pre-run: confirm environment up and every seed login works</t>
  </si>
  <si>
    <t xml:space="preserve">Run blocked early with clear reason if not.</t>
  </si>
  <si>
    <t xml:space="preserve">R14</t>
  </si>
  <si>
    <t xml:space="preserve">NFR-005</t>
  </si>
  <si>
    <t xml:space="preserve">Evidence capture on failure</t>
  </si>
  <si>
    <t xml:space="preserve">1. Force a failure</t>
  </si>
  <si>
    <t xml:space="preserve">Screenshot, video, trace and logs retained.</t>
  </si>
  <si>
    <t xml:space="preserve">Automation phase</t>
  </si>
  <si>
    <t xml:space="preserve">NFR-006</t>
  </si>
  <si>
    <t xml:space="preserve">Security headers / cookie flags / HTTPS</t>
  </si>
  <si>
    <t xml:space="preserve">env is http://</t>
  </si>
  <si>
    <t xml:space="preserve">1. Inspect response headers and cookies</t>
  </si>
  <si>
    <t xml:space="preserve">Document gaps (site is plain HTTP).</t>
  </si>
  <si>
    <t xml:space="preserve">Item</t>
  </si>
  <si>
    <t xml:space="preserve">Value</t>
  </si>
  <si>
    <t xml:space="preserve">Purpose / Notes</t>
  </si>
  <si>
    <t xml:space="preserve">Application URL</t>
  </si>
  <si>
    <t xml:space="preserve">http://34.93.145.116:8081/login</t>
  </si>
  <si>
    <t xml:space="preserve">UI entry point (plain HTTP)</t>
  </si>
  <si>
    <t xml:space="preserve">API base URL</t>
  </si>
  <si>
    <t xml:space="preserve">http://34.93.145.116:8081/api</t>
  </si>
  <si>
    <t xml:space="preserve">Endpoint paths in API cases are assumed; confirm against contract (D-05)</t>
  </si>
  <si>
    <t xml:space="preserve">API auth header</t>
  </si>
  <si>
    <t xml:space="preserve">Demo key supplied by client</t>
  </si>
  <si>
    <t xml:space="preserve">Common password</t>
  </si>
  <si>
    <t xml:space="preserve">Password@123</t>
  </si>
  <si>
    <t xml:space="preserve">All seeded users</t>
  </si>
  <si>
    <t xml:space="preserve">Valid user</t>
  </si>
  <si>
    <t xml:space="preserve">Primary happy-path / regression</t>
  </si>
  <si>
    <t xml:space="preserve">Empty dashboard / first-run</t>
  </si>
  <si>
    <t xml:space="preserve">Draft user</t>
  </si>
  <si>
    <t xml:space="preserve">Draft resume scenarios</t>
  </si>
  <si>
    <t xml:space="preserve">Submitted user</t>
  </si>
  <si>
    <t xml:space="preserve">Read-only, status and reference checks</t>
  </si>
  <si>
    <t xml:space="preserve">agent.locked@insurance.test</t>
  </si>
  <si>
    <t xml:space="preserve">Locked user</t>
  </si>
  <si>
    <t xml:space="preserve">Negative locked-login scenario</t>
  </si>
  <si>
    <t xml:space="preserve">learner001 ... learner030 @insurance.test</t>
  </si>
  <si>
    <t xml:space="preserve">Learner pool</t>
  </si>
  <si>
    <t xml:space="preserve">Use for destructive cases (lockout threshold, parallel sessions). Do not use agent.valid for lockout tests.</t>
  </si>
  <si>
    <t xml:space="preserve">Age boundary DOBs</t>
  </si>
  <si>
    <t xml:space="preserve">Compute from execution date</t>
  </si>
  <si>
    <t xml:space="preserve">18y exact, 17y364d, 65y exact, 65y+1d, 66y, future, today</t>
  </si>
  <si>
    <t xml:space="preserve">Files for upload</t>
  </si>
  <si>
    <t xml:space="preserve">Prepare: valid .pdf/.jpg/.png; .exe/.zip/.js; 0-byte; at-limit; limit+1; double-extension; renamed-exe</t>
  </si>
  <si>
    <t xml:space="preserve">Size limit not supplied (D-08)</t>
  </si>
  <si>
    <t xml:space="preserve">Account hygiene</t>
  </si>
  <si>
    <t xml:space="preserve">Tests that create/submit applications consume seed state</t>
  </si>
  <si>
    <t xml:space="preserve">Agree reset owner/procedure (Clarif-4)</t>
  </si>
  <si>
    <t xml:space="preserve">Risk ID</t>
  </si>
  <si>
    <t xml:space="preserve">Module (Doc 04)</t>
  </si>
  <si>
    <t xml:space="preserve">Risk</t>
  </si>
  <si>
    <t xml:space="preserve"># Test Cases</t>
  </si>
  <si>
    <t xml:space="preserve">Covering Test Case IDs</t>
  </si>
  <si>
    <t xml:space="preserve">Unauthorized access, failed valid login, wrong locked message, inconsistent password policy</t>
  </si>
  <si>
    <t xml:space="preserve">AUTH-001, AUTH-002, AUTH-003, AUTH-004, AUTH-005, AUTH-006, AUTH-007, AUTH-008, AUTH-009, AUTH-010, AUTH-011, AUTH-012, AUTH-013, AUTH-014, AUTH-015, AUTH-016, AUTH-017, AUTH-018, AUTH-019, AUTH-020, AUTH-021, AUTH-022, AUTH-023, AUTH-024, AUTH-025, AAPI-001, AAPI-002, AAPI-003, AAPI-004, AAPI-005, AAPI-006, AAPI-007, AAPI-008, AAPI-009, REV-012, E2E-001, E2E-008, GAPI-001, GAPI-002, GAPI-003, GAPI-005, NFR-006</t>
  </si>
  <si>
    <t xml:space="preserve">Incorrect records, filters, draft resume, user data isolation</t>
  </si>
  <si>
    <t xml:space="preserve">AUTH-023, AAPI-008, DASH-001, DASH-002, DASH-003, DASH-004, DASH-005, DASH-006, DASH-007, DASH-008, DASH-009, DASH-010, DASH-011, DASH-012, DASH-013, DASH-014, DASH-015, DASH-016, DAPI-001, DAPI-002, DAPI-003, DAPI-004, DAPI-005, DAPI-006, CAPI-007, DAPI2-004, STAT-006, SAPI-002, NAV-003, E2E-001, E2E-005, E2E-008</t>
  </si>
  <si>
    <t xml:space="preserve">Client eligibility</t>
  </si>
  <si>
    <t xml:space="preserve">Underage, over-age or future DOB accepted</t>
  </si>
  <si>
    <t xml:space="preserve">CLNT-001, CLNT-002, CLNT-003, CLNT-004, CLNT-005, CLNT-006, CLNT-007, CLNT-008, CLNT-009, CLNT-010, CLNT-011, CLNT-012, CLNT-013, CLNT-014, CLNT-015, CLNT-016, CLNT-017, CAPI-001, CAPI-002, CAPI-003, CAPI-004, CAPI-005, CAPI-006, CAPI-007, PROD-012, E2E-001, E2E-008</t>
  </si>
  <si>
    <t xml:space="preserve">Address/contact</t>
  </si>
  <si>
    <t xml:space="preserve">Invalid postal/email/phone accepted; copy-address error</t>
  </si>
  <si>
    <t xml:space="preserve">ADDR-001, ADDR-002, ADDR-003, ADDR-004, ADDR-005, ADDR-006, ADDR-007, ADDR-008, ADDR-009, ADDR-010, ADDR-011, ADDR-012, ACAPI-001, ACAPI-002, ACAPI-003, E2E-001, E2E-008</t>
  </si>
  <si>
    <t xml:space="preserve">KYC/compliance</t>
  </si>
  <si>
    <t xml:space="preserve">Evidence bypassed, sensitive ID exposed, PEP incomplete</t>
  </si>
  <si>
    <t xml:space="preserve">KYC-001, KYC-002, KYC-003, KYC-004, KYC-005, KYC-006, KYC-007, KYC-008, KYC-009, KYC-010, KYC-011, KYC-012, KYC-017, KAPI-001, KAPI-002, KAPI-004, DB-005, E2E-001, E2E-008</t>
  </si>
  <si>
    <t xml:space="preserve">Financial suitability</t>
  </si>
  <si>
    <t xml:space="preserve">Affordability/suitability rule not applied</t>
  </si>
  <si>
    <t xml:space="preserve">KYC-001, KYC-013, KYC-014, KYC-015, KYC-016, KAPI-003, KAPI-004, E2E-001, E2E-008</t>
  </si>
  <si>
    <t xml:space="preserve">Ineligible product/invalid face value accepted; premium stale</t>
  </si>
  <si>
    <t xml:space="preserve">CLNT-013, PROD-001, PROD-002, PROD-003, PROD-004, PROD-005, PROD-006, PROD-007, PROD-008, PROD-009, PROD-010, PROD-011, PROD-012, PROD-013, PAPI-001, PAPI-002, PAPI-003, PAPI-004, PAPI-005, RDR-001, RDR-012, RAPI-004, E2E-001, E2E-008</t>
  </si>
  <si>
    <t xml:space="preserve">Coverage &gt; base, age rule, count exceeded, incompatible riders</t>
  </si>
  <si>
    <t xml:space="preserve">RDR-001, RDR-002, RDR-003, RDR-004, RDR-005, RDR-006, RDR-007, RDR-008, RDR-009, RDR-010, RDR-011, RDR-012, RDR-013, RDR-014, RAPI-001, RAPI-002, RAPI-003, RAPI-004, E2E-001, E2E-002, E2E-008</t>
  </si>
  <si>
    <t xml:space="preserve">Allocation not 100%, guardian missing, duplicate, removal invalid total</t>
  </si>
  <si>
    <t xml:space="preserve">BEN-001, BEN-002, BEN-003, BEN-004, BEN-005, BEN-006, BEN-007, BEN-008, BEN-009, BEN-010, BEN-011, BEN-012, BEN-013, BEN-014, BEN-015, BEN-016, BEN-017, BEN-018, BEN-019, BEN-020, BAPI-001, BAPI-002, BAPI-003, BAPI-004, BAPI-005, DB-003, E2E-001, E2E-002, E2E-008</t>
  </si>
  <si>
    <t xml:space="preserve">Unsupported/oversized/missing files accepted; upload state wrong</t>
  </si>
  <si>
    <t xml:space="preserve">KYC-006, KYC-007, DOC-001, DOC-002, DOC-003, DOC-004, DOC-005, DOC-006, DOC-007, DOC-008, DOC-009, DOC-010, DOC-011, DOC-012, DOC-013, DOC-014, DOC-015, DAPI2-001, DAPI2-002, DAPI2-003, DAPI2-004, E2E-001, E2E-008</t>
  </si>
  <si>
    <t xml:space="preserve">Review/submit</t>
  </si>
  <si>
    <t xml:space="preserve">Errors not grouped, submit enabled wrongly, draft lost, submitted editable</t>
  </si>
  <si>
    <t xml:space="preserve">DASH-006, DASH-013, CLNT-016, CAPI-008, ADDR-012, KYC-017, PROD-013, RDR-013, BEN-019, DOC-009, DOC-015, REV-001, REV-002, REV-003, REV-004, REV-005, REV-006, REV-007, REV-009, REV-010, REV-011, REV-012, REV-013, REV-014, REV-015, RAPI2-001, RAPI2-002, RAPI2-003, RAPI2-004, RAPI2-005, RAPI2-006, DB-001, NAV-001, NAV-002, NAV-004, NAV-005, E2E-001, E2E-003, E2E-004, E2E-007, E2E-008</t>
  </si>
  <si>
    <t xml:space="preserve">Status tracking</t>
  </si>
  <si>
    <t xml:space="preserve">Reference missing or UI/backend status mismatch</t>
  </si>
  <si>
    <t xml:space="preserve">DASH-004, DASH-009, DASH-014, REV-007, REV-008, RAPI2-003, RAPI2-006, STAT-001, STAT-002, STAT-003, STAT-004, STAT-005, STAT-006, STAT-007, SAPI-001, SAPI-002, DB-002, DB-004, E2E-001, E2E-006, E2E-007, E2E-008, GAPI-004</t>
  </si>
  <si>
    <t xml:space="preserve">Automation framework</t>
  </si>
  <si>
    <t xml:space="preserve">Hard waits, unstable locators, shared state</t>
  </si>
  <si>
    <t xml:space="preserve">E2E-001, E2E-008, NFR-001, NFR-002, NFR-003</t>
  </si>
  <si>
    <t xml:space="preserve">Environment/test data</t>
  </si>
  <si>
    <t xml:space="preserve">Unavailable credentials, stale seed, config drift</t>
  </si>
  <si>
    <t xml:space="preserve">E2E-001, E2E-008, NFR-004</t>
  </si>
  <si>
    <t xml:space="preserve">Evidence/reporting</t>
  </si>
  <si>
    <t xml:space="preserve">Failure cannot be reproduced or classified</t>
  </si>
  <si>
    <t xml:space="preserve">E2E-001, E2E-008, GAPI-006, NFR-005</t>
  </si>
  <si>
    <t xml:space="preserve">Ref</t>
  </si>
  <si>
    <t xml:space="preserve">Impact on test cases</t>
  </si>
  <si>
    <t xml:space="preserve">D-01/D-02</t>
  </si>
  <si>
    <t xml:space="preserve">URL and seed users NOW supplied (see Test Data). MFA, admin, mentor users still not supplied.</t>
  </si>
  <si>
    <t xml:space="preserve">AUTH MFA case Blocked; role-permission cases cannot be written (D-09).</t>
  </si>
  <si>
    <t xml:space="preserve">D-04</t>
  </si>
  <si>
    <t xml:space="preserve">Seeded defect catalog not supplied</t>
  </si>
  <si>
    <t xml:space="preserve">Cases cover every risk in Doc 04; map to defect IDs once catalog arrives.</t>
  </si>
  <si>
    <t xml:space="preserve">D-05</t>
  </si>
  <si>
    <t xml:space="preserve">API schemas / endpoint paths not supplied</t>
  </si>
  <si>
    <t xml:space="preserve">API cases use documented service names and assumed paths; confirm before automation.</t>
  </si>
  <si>
    <t xml:space="preserve">D-06</t>
  </si>
  <si>
    <t xml:space="preserve">Database access and queries not supplied</t>
  </si>
  <si>
    <t xml:space="preserve">DB-xxx cases remain Blocked.</t>
  </si>
  <si>
    <t xml:space="preserve">Product face-value limits, rider matrix, premium formula not supplied</t>
  </si>
  <si>
    <t xml:space="preserve">Boundary expected values stated as min/max; premium asserted by consistency (UI = API, direction of change) not absolute amounts.</t>
  </si>
  <si>
    <t xml:space="preserve">Mandatory documents, file-size limit, status transition matrix not supplied</t>
  </si>
  <si>
    <t xml:space="preserve">Document boundary and lifecycle cases need values.</t>
  </si>
  <si>
    <t xml:space="preserve">D-09</t>
  </si>
  <si>
    <t xml:space="preserve">Role-permission matrix not supplied</t>
  </si>
  <si>
    <t xml:space="preserve">Only agent-level isolation tested.</t>
  </si>
  <si>
    <t xml:space="preserve">Clarif</t>
  </si>
  <si>
    <t xml:space="preserve">Lockout threshold, password policy, phone/postal/ID formats, duplicate beneficiary rule, 65-year inclusivity, trust/org beneficiaries</t>
  </si>
  <si>
    <t xml:space="preserve">Record observed behaviour during execution and raise as clarification where docs are silent.</t>
  </si>
  <si>
    <t xml:space="preserve">Assump</t>
  </si>
  <si>
    <t xml:space="preserve">Endpoint paths (e.g. /api/applications) are assumptions based on documented service groups</t>
  </si>
  <si>
    <t xml:space="preserve">Adjust once contract confirmed.</t>
  </si>
  <si>
    <t xml:space="preserve">Note</t>
  </si>
  <si>
    <t xml:space="preserve">Application was not reachable from the authoring environment; no case has been executed. Field labels are inferred from documents and must be validated against the real UI.</t>
  </si>
  <si>
    <t xml:space="preserve">All statuses = Not Run.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</si>
</sst>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4"/>
      <c r="E5" s="4"/>
      <c r="F5" s="4"/>
      <c r="G5" s="4"/>
      <c r="H5" s="4"/>
    </row>
    <row r="6" customFormat="false" ht="15" hidden="false" customHeight="false" outlineLevel="0" collapsed="false">
      <c r="A6" s="4" t="s">
        <v>6</v>
      </c>
      <c r="B6" s="4" t="n">
        <f aca="false">COUNTIF('Test Cases'!$N:$N,A6)</f>
        <v>257</v>
      </c>
      <c r="C6" s="6" t="n">
        <f aca="false">IF($B$11=0,0,B6/$B$11)</f>
        <v>1</v>
      </c>
      <c r="D6" s="4"/>
      <c r="E6" s="4"/>
      <c r="F6" s="4"/>
      <c r="G6" s="4"/>
      <c r="H6" s="4"/>
    </row>
    <row r="7" customFormat="false" ht="15" hidden="false" customHeight="false" outlineLevel="0" collapsed="false">
      <c r="A7" s="4" t="s">
        <v>7</v>
      </c>
      <c r="B7" s="4" t="n">
        <f aca="false">COUNTIF('Test Cases'!$N:$N,A7)</f>
        <v>0</v>
      </c>
      <c r="C7" s="6" t="n">
        <f aca="false">IF($B$11=0,0,B7/$B$11)</f>
        <v>0</v>
      </c>
      <c r="D7" s="4"/>
      <c r="E7" s="4"/>
      <c r="F7" s="4"/>
      <c r="G7" s="4"/>
      <c r="H7" s="4"/>
    </row>
    <row r="8" customFormat="false" ht="15" hidden="false" customHeight="false" outlineLevel="0" collapsed="false">
      <c r="A8" s="4" t="s">
        <v>8</v>
      </c>
      <c r="B8" s="4" t="n">
        <f aca="false">COUNTIF('Test Cases'!$N:$N,A8)</f>
        <v>0</v>
      </c>
      <c r="C8" s="6" t="n">
        <f aca="false">IF($B$11=0,0,B8/$B$11)</f>
        <v>0</v>
      </c>
      <c r="D8" s="4"/>
      <c r="E8" s="4"/>
      <c r="F8" s="4"/>
      <c r="G8" s="4"/>
      <c r="H8" s="4"/>
    </row>
    <row r="9" customFormat="false" ht="15" hidden="false" customHeight="false" outlineLevel="0" collapsed="false">
      <c r="A9" s="4" t="s">
        <v>9</v>
      </c>
      <c r="B9" s="4" t="n">
        <f aca="false">COUNTIF('Test Cases'!$N:$N,A9)</f>
        <v>0</v>
      </c>
      <c r="C9" s="6" t="n">
        <f aca="false">IF($B$11=0,0,B9/$B$11)</f>
        <v>0</v>
      </c>
      <c r="D9" s="4"/>
      <c r="E9" s="4"/>
      <c r="F9" s="4"/>
      <c r="G9" s="4"/>
      <c r="H9" s="4"/>
    </row>
    <row r="10" customFormat="false" ht="15" hidden="false" customHeight="false" outlineLevel="0" collapsed="false">
      <c r="A10" s="4" t="s">
        <v>10</v>
      </c>
      <c r="B10" s="4" t="n">
        <f aca="false">COUNTIF('Test Cases'!$N:$N,A10)</f>
        <v>0</v>
      </c>
      <c r="C10" s="6" t="n">
        <f aca="false">IF($B$11=0,0,B10/$B$11)</f>
        <v>0</v>
      </c>
      <c r="D10" s="4"/>
      <c r="E10" s="4"/>
      <c r="F10" s="4"/>
      <c r="G10" s="4"/>
      <c r="H10" s="4"/>
    </row>
    <row r="11" customFormat="false" ht="15" hidden="false" customHeight="false" outlineLevel="0" collapsed="false">
      <c r="A11" s="3" t="s">
        <v>11</v>
      </c>
      <c r="B11" s="3" t="n">
        <f aca="false">SUM(B6:B10)</f>
        <v>257</v>
      </c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3" t="s">
        <v>12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5" t="s">
        <v>13</v>
      </c>
      <c r="B15" s="5" t="s">
        <v>11</v>
      </c>
      <c r="C15" s="5" t="s">
        <v>14</v>
      </c>
      <c r="D15" s="5" t="s">
        <v>15</v>
      </c>
      <c r="E15" s="5" t="s">
        <v>16</v>
      </c>
      <c r="F15" s="5" t="s">
        <v>17</v>
      </c>
      <c r="G15" s="4"/>
      <c r="H15" s="4"/>
    </row>
    <row r="16" customFormat="false" ht="15" hidden="false" customHeight="false" outlineLevel="0" collapsed="false">
      <c r="A16" s="4" t="s">
        <v>18</v>
      </c>
      <c r="B16" s="4" t="n">
        <f aca="false">COUNTIF('Test Cases'!$B:$B,A16)</f>
        <v>34</v>
      </c>
      <c r="C16" s="4" t="n">
        <f aca="false">COUNTIFS('Test Cases'!$B:$B,$A16,'Test Cases'!$F:$F,"Critical")</f>
        <v>15</v>
      </c>
      <c r="D16" s="4" t="n">
        <f aca="false">COUNTIFS('Test Cases'!$B:$B,$A16,'Test Cases'!$F:$F,"High")</f>
        <v>11</v>
      </c>
      <c r="E16" s="4" t="n">
        <f aca="false">COUNTIFS('Test Cases'!$B:$B,$A16,'Test Cases'!$F:$F,"Medium")</f>
        <v>6</v>
      </c>
      <c r="F16" s="4" t="n">
        <f aca="false">COUNTIFS('Test Cases'!$B:$B,$A16,'Test Cases'!$F:$F,"Low")</f>
        <v>2</v>
      </c>
      <c r="G16" s="4"/>
      <c r="H16" s="4"/>
    </row>
    <row r="17" customFormat="false" ht="15" hidden="false" customHeight="false" outlineLevel="0" collapsed="false">
      <c r="A17" s="4" t="s">
        <v>19</v>
      </c>
      <c r="B17" s="4" t="n">
        <f aca="false">COUNTIF('Test Cases'!$B:$B,A17)</f>
        <v>22</v>
      </c>
      <c r="C17" s="4" t="n">
        <f aca="false">COUNTIFS('Test Cases'!$B:$B,$A17,'Test Cases'!$F:$F,"Critical")</f>
        <v>7</v>
      </c>
      <c r="D17" s="4" t="n">
        <f aca="false">COUNTIFS('Test Cases'!$B:$B,$A17,'Test Cases'!$F:$F,"High")</f>
        <v>9</v>
      </c>
      <c r="E17" s="4" t="n">
        <f aca="false">COUNTIFS('Test Cases'!$B:$B,$A17,'Test Cases'!$F:$F,"Medium")</f>
        <v>5</v>
      </c>
      <c r="F17" s="4" t="n">
        <f aca="false">COUNTIFS('Test Cases'!$B:$B,$A17,'Test Cases'!$F:$F,"Low")</f>
        <v>1</v>
      </c>
      <c r="G17" s="4"/>
      <c r="H17" s="4"/>
    </row>
    <row r="18" customFormat="false" ht="15" hidden="false" customHeight="false" outlineLevel="0" collapsed="false">
      <c r="A18" s="4" t="s">
        <v>20</v>
      </c>
      <c r="B18" s="4" t="n">
        <f aca="false">COUNTIF('Test Cases'!$B:$B,A18)</f>
        <v>25</v>
      </c>
      <c r="C18" s="4" t="n">
        <f aca="false">COUNTIFS('Test Cases'!$B:$B,$A18,'Test Cases'!$F:$F,"Critical")</f>
        <v>13</v>
      </c>
      <c r="D18" s="4" t="n">
        <f aca="false">COUNTIFS('Test Cases'!$B:$B,$A18,'Test Cases'!$F:$F,"High")</f>
        <v>8</v>
      </c>
      <c r="E18" s="4" t="n">
        <f aca="false">COUNTIFS('Test Cases'!$B:$B,$A18,'Test Cases'!$F:$F,"Medium")</f>
        <v>3</v>
      </c>
      <c r="F18" s="4" t="n">
        <f aca="false">COUNTIFS('Test Cases'!$B:$B,$A18,'Test Cases'!$F:$F,"Low")</f>
        <v>1</v>
      </c>
      <c r="G18" s="4"/>
      <c r="H18" s="4"/>
    </row>
    <row r="19" customFormat="false" ht="15" hidden="false" customHeight="false" outlineLevel="0" collapsed="false">
      <c r="A19" s="4" t="s">
        <v>21</v>
      </c>
      <c r="B19" s="4" t="n">
        <f aca="false">COUNTIF('Test Cases'!$B:$B,A19)</f>
        <v>15</v>
      </c>
      <c r="C19" s="4" t="n">
        <f aca="false">COUNTIFS('Test Cases'!$B:$B,$A19,'Test Cases'!$F:$F,"Critical")</f>
        <v>0</v>
      </c>
      <c r="D19" s="4" t="n">
        <f aca="false">COUNTIFS('Test Cases'!$B:$B,$A19,'Test Cases'!$F:$F,"High")</f>
        <v>9</v>
      </c>
      <c r="E19" s="4" t="n">
        <f aca="false">COUNTIFS('Test Cases'!$B:$B,$A19,'Test Cases'!$F:$F,"Medium")</f>
        <v>6</v>
      </c>
      <c r="F19" s="4" t="n">
        <f aca="false">COUNTIFS('Test Cases'!$B:$B,$A19,'Test Cases'!$F:$F,"Low")</f>
        <v>0</v>
      </c>
      <c r="G19" s="4"/>
      <c r="H19" s="4"/>
    </row>
    <row r="20" customFormat="false" ht="15" hidden="false" customHeight="false" outlineLevel="0" collapsed="false">
      <c r="A20" s="4" t="s">
        <v>22</v>
      </c>
      <c r="B20" s="4" t="n">
        <f aca="false">COUNTIF('Test Cases'!$B:$B,A20)</f>
        <v>21</v>
      </c>
      <c r="C20" s="4" t="n">
        <f aca="false">COUNTIFS('Test Cases'!$B:$B,$A20,'Test Cases'!$F:$F,"Critical")</f>
        <v>9</v>
      </c>
      <c r="D20" s="4" t="n">
        <f aca="false">COUNTIFS('Test Cases'!$B:$B,$A20,'Test Cases'!$F:$F,"High")</f>
        <v>11</v>
      </c>
      <c r="E20" s="4" t="n">
        <f aca="false">COUNTIFS('Test Cases'!$B:$B,$A20,'Test Cases'!$F:$F,"Medium")</f>
        <v>1</v>
      </c>
      <c r="F20" s="4" t="n">
        <f aca="false">COUNTIFS('Test Cases'!$B:$B,$A20,'Test Cases'!$F:$F,"Low")</f>
        <v>0</v>
      </c>
      <c r="G20" s="4"/>
      <c r="H20" s="4"/>
    </row>
    <row r="21" customFormat="false" ht="15" hidden="false" customHeight="false" outlineLevel="0" collapsed="false">
      <c r="A21" s="4" t="s">
        <v>23</v>
      </c>
      <c r="B21" s="4" t="n">
        <f aca="false">COUNTIF('Test Cases'!$B:$B,A21)</f>
        <v>18</v>
      </c>
      <c r="C21" s="4" t="n">
        <f aca="false">COUNTIFS('Test Cases'!$B:$B,$A21,'Test Cases'!$F:$F,"Critical")</f>
        <v>11</v>
      </c>
      <c r="D21" s="4" t="n">
        <f aca="false">COUNTIFS('Test Cases'!$B:$B,$A21,'Test Cases'!$F:$F,"High")</f>
        <v>6</v>
      </c>
      <c r="E21" s="4" t="n">
        <f aca="false">COUNTIFS('Test Cases'!$B:$B,$A21,'Test Cases'!$F:$F,"Medium")</f>
        <v>1</v>
      </c>
      <c r="F21" s="4" t="n">
        <f aca="false">COUNTIFS('Test Cases'!$B:$B,$A21,'Test Cases'!$F:$F,"Low")</f>
        <v>0</v>
      </c>
      <c r="G21" s="4"/>
      <c r="H21" s="4"/>
    </row>
    <row r="22" customFormat="false" ht="15" hidden="false" customHeight="false" outlineLevel="0" collapsed="false">
      <c r="A22" s="4" t="s">
        <v>24</v>
      </c>
      <c r="B22" s="4" t="n">
        <f aca="false">COUNTIF('Test Cases'!$B:$B,A22)</f>
        <v>18</v>
      </c>
      <c r="C22" s="4" t="n">
        <f aca="false">COUNTIFS('Test Cases'!$B:$B,$A22,'Test Cases'!$F:$F,"Critical")</f>
        <v>10</v>
      </c>
      <c r="D22" s="4" t="n">
        <f aca="false">COUNTIFS('Test Cases'!$B:$B,$A22,'Test Cases'!$F:$F,"High")</f>
        <v>6</v>
      </c>
      <c r="E22" s="4" t="n">
        <f aca="false">COUNTIFS('Test Cases'!$B:$B,$A22,'Test Cases'!$F:$F,"Medium")</f>
        <v>2</v>
      </c>
      <c r="F22" s="4" t="n">
        <f aca="false">COUNTIFS('Test Cases'!$B:$B,$A22,'Test Cases'!$F:$F,"Low")</f>
        <v>0</v>
      </c>
      <c r="G22" s="4"/>
      <c r="H22" s="4"/>
    </row>
    <row r="23" customFormat="false" ht="15" hidden="false" customHeight="false" outlineLevel="0" collapsed="false">
      <c r="A23" s="4" t="s">
        <v>25</v>
      </c>
      <c r="B23" s="4" t="n">
        <f aca="false">COUNTIF('Test Cases'!$B:$B,A23)</f>
        <v>25</v>
      </c>
      <c r="C23" s="4" t="n">
        <f aca="false">COUNTIFS('Test Cases'!$B:$B,$A23,'Test Cases'!$F:$F,"Critical")</f>
        <v>14</v>
      </c>
      <c r="D23" s="4" t="n">
        <f aca="false">COUNTIFS('Test Cases'!$B:$B,$A23,'Test Cases'!$F:$F,"High")</f>
        <v>8</v>
      </c>
      <c r="E23" s="4" t="n">
        <f aca="false">COUNTIFS('Test Cases'!$B:$B,$A23,'Test Cases'!$F:$F,"Medium")</f>
        <v>3</v>
      </c>
      <c r="F23" s="4" t="n">
        <f aca="false">COUNTIFS('Test Cases'!$B:$B,$A23,'Test Cases'!$F:$F,"Low")</f>
        <v>0</v>
      </c>
      <c r="G23" s="4"/>
      <c r="H23" s="4"/>
    </row>
    <row r="24" customFormat="false" ht="15" hidden="false" customHeight="false" outlineLevel="0" collapsed="false">
      <c r="A24" s="4" t="s">
        <v>26</v>
      </c>
      <c r="B24" s="4" t="n">
        <f aca="false">COUNTIF('Test Cases'!$B:$B,A24)</f>
        <v>19</v>
      </c>
      <c r="C24" s="4" t="n">
        <f aca="false">COUNTIFS('Test Cases'!$B:$B,$A24,'Test Cases'!$F:$F,"Critical")</f>
        <v>8</v>
      </c>
      <c r="D24" s="4" t="n">
        <f aca="false">COUNTIFS('Test Cases'!$B:$B,$A24,'Test Cases'!$F:$F,"High")</f>
        <v>6</v>
      </c>
      <c r="E24" s="4" t="n">
        <f aca="false">COUNTIFS('Test Cases'!$B:$B,$A24,'Test Cases'!$F:$F,"Medium")</f>
        <v>4</v>
      </c>
      <c r="F24" s="4" t="n">
        <f aca="false">COUNTIFS('Test Cases'!$B:$B,$A24,'Test Cases'!$F:$F,"Low")</f>
        <v>1</v>
      </c>
      <c r="G24" s="4"/>
      <c r="H24" s="4"/>
    </row>
    <row r="25" customFormat="false" ht="15" hidden="false" customHeight="false" outlineLevel="0" collapsed="false">
      <c r="A25" s="4" t="s">
        <v>27</v>
      </c>
      <c r="B25" s="4" t="n">
        <f aca="false">COUNTIF('Test Cases'!$B:$B,A25)</f>
        <v>21</v>
      </c>
      <c r="C25" s="4" t="n">
        <f aca="false">COUNTIFS('Test Cases'!$B:$B,$A25,'Test Cases'!$F:$F,"Critical")</f>
        <v>8</v>
      </c>
      <c r="D25" s="4" t="n">
        <f aca="false">COUNTIFS('Test Cases'!$B:$B,$A25,'Test Cases'!$F:$F,"High")</f>
        <v>11</v>
      </c>
      <c r="E25" s="4" t="n">
        <f aca="false">COUNTIFS('Test Cases'!$B:$B,$A25,'Test Cases'!$F:$F,"Medium")</f>
        <v>2</v>
      </c>
      <c r="F25" s="4" t="n">
        <f aca="false">COUNTIFS('Test Cases'!$B:$B,$A25,'Test Cases'!$F:$F,"Low")</f>
        <v>0</v>
      </c>
      <c r="G25" s="4"/>
      <c r="H25" s="4"/>
    </row>
    <row r="26" customFormat="false" ht="15" hidden="false" customHeight="false" outlineLevel="0" collapsed="false">
      <c r="A26" s="4" t="s">
        <v>28</v>
      </c>
      <c r="B26" s="4" t="n">
        <f aca="false">COUNTIF('Test Cases'!$B:$B,A26)</f>
        <v>9</v>
      </c>
      <c r="C26" s="4" t="n">
        <f aca="false">COUNTIFS('Test Cases'!$B:$B,$A26,'Test Cases'!$F:$F,"Critical")</f>
        <v>5</v>
      </c>
      <c r="D26" s="4" t="n">
        <f aca="false">COUNTIFS('Test Cases'!$B:$B,$A26,'Test Cases'!$F:$F,"High")</f>
        <v>2</v>
      </c>
      <c r="E26" s="4" t="n">
        <f aca="false">COUNTIFS('Test Cases'!$B:$B,$A26,'Test Cases'!$F:$F,"Medium")</f>
        <v>2</v>
      </c>
      <c r="F26" s="4" t="n">
        <f aca="false">COUNTIFS('Test Cases'!$B:$B,$A26,'Test Cases'!$F:$F,"Low")</f>
        <v>0</v>
      </c>
      <c r="G26" s="4"/>
      <c r="H26" s="4"/>
    </row>
    <row r="27" customFormat="false" ht="15" hidden="false" customHeight="false" outlineLevel="0" collapsed="false">
      <c r="A27" s="4" t="s">
        <v>29</v>
      </c>
      <c r="B27" s="4" t="n">
        <f aca="false">COUNTIF('Test Cases'!$B:$B,A27)</f>
        <v>5</v>
      </c>
      <c r="C27" s="4" t="n">
        <f aca="false">COUNTIFS('Test Cases'!$B:$B,$A27,'Test Cases'!$F:$F,"Critical")</f>
        <v>0</v>
      </c>
      <c r="D27" s="4" t="n">
        <f aca="false">COUNTIFS('Test Cases'!$B:$B,$A27,'Test Cases'!$F:$F,"High")</f>
        <v>4</v>
      </c>
      <c r="E27" s="4" t="n">
        <f aca="false">COUNTIFS('Test Cases'!$B:$B,$A27,'Test Cases'!$F:$F,"Medium")</f>
        <v>1</v>
      </c>
      <c r="F27" s="4" t="n">
        <f aca="false">COUNTIFS('Test Cases'!$B:$B,$A27,'Test Cases'!$F:$F,"Low")</f>
        <v>0</v>
      </c>
      <c r="G27" s="4"/>
      <c r="H27" s="4"/>
    </row>
    <row r="28" customFormat="false" ht="15" hidden="false" customHeight="false" outlineLevel="0" collapsed="false">
      <c r="A28" s="4" t="s">
        <v>30</v>
      </c>
      <c r="B28" s="4" t="n">
        <f aca="false">COUNTIF('Test Cases'!$B:$B,A28)</f>
        <v>5</v>
      </c>
      <c r="C28" s="4" t="n">
        <f aca="false">COUNTIFS('Test Cases'!$B:$B,$A28,'Test Cases'!$F:$F,"Critical")</f>
        <v>0</v>
      </c>
      <c r="D28" s="4" t="n">
        <f aca="false">COUNTIFS('Test Cases'!$B:$B,$A28,'Test Cases'!$F:$F,"High")</f>
        <v>2</v>
      </c>
      <c r="E28" s="4" t="n">
        <f aca="false">COUNTIFS('Test Cases'!$B:$B,$A28,'Test Cases'!$F:$F,"Medium")</f>
        <v>3</v>
      </c>
      <c r="F28" s="4" t="n">
        <f aca="false">COUNTIFS('Test Cases'!$B:$B,$A28,'Test Cases'!$F:$F,"Low")</f>
        <v>0</v>
      </c>
      <c r="G28" s="4"/>
      <c r="H28" s="4"/>
    </row>
    <row r="29" customFormat="false" ht="15" hidden="false" customHeight="false" outlineLevel="0" collapsed="false">
      <c r="A29" s="4" t="s">
        <v>31</v>
      </c>
      <c r="B29" s="4" t="n">
        <f aca="false">COUNTIF('Test Cases'!$B:$B,A29)</f>
        <v>8</v>
      </c>
      <c r="C29" s="4" t="n">
        <f aca="false">COUNTIFS('Test Cases'!$B:$B,$A29,'Test Cases'!$F:$F,"Critical")</f>
        <v>5</v>
      </c>
      <c r="D29" s="4" t="n">
        <f aca="false">COUNTIFS('Test Cases'!$B:$B,$A29,'Test Cases'!$F:$F,"High")</f>
        <v>3</v>
      </c>
      <c r="E29" s="4" t="n">
        <f aca="false">COUNTIFS('Test Cases'!$B:$B,$A29,'Test Cases'!$F:$F,"Medium")</f>
        <v>0</v>
      </c>
      <c r="F29" s="4" t="n">
        <f aca="false">COUNTIFS('Test Cases'!$B:$B,$A29,'Test Cases'!$F:$F,"Low")</f>
        <v>0</v>
      </c>
      <c r="G29" s="4"/>
      <c r="H29" s="4"/>
    </row>
    <row r="30" customFormat="false" ht="15" hidden="false" customHeight="false" outlineLevel="0" collapsed="false">
      <c r="A30" s="4" t="s">
        <v>32</v>
      </c>
      <c r="B30" s="4" t="n">
        <f aca="false">COUNTIF('Test Cases'!$B:$B,A30)</f>
        <v>6</v>
      </c>
      <c r="C30" s="4" t="n">
        <f aca="false">COUNTIFS('Test Cases'!$B:$B,$A30,'Test Cases'!$F:$F,"Critical")</f>
        <v>0</v>
      </c>
      <c r="D30" s="4" t="n">
        <f aca="false">COUNTIFS('Test Cases'!$B:$B,$A30,'Test Cases'!$F:$F,"High")</f>
        <v>3</v>
      </c>
      <c r="E30" s="4" t="n">
        <f aca="false">COUNTIFS('Test Cases'!$B:$B,$A30,'Test Cases'!$F:$F,"Medium")</f>
        <v>1</v>
      </c>
      <c r="F30" s="4" t="n">
        <f aca="false">COUNTIFS('Test Cases'!$B:$B,$A30,'Test Cases'!$F:$F,"Low")</f>
        <v>2</v>
      </c>
      <c r="G30" s="4"/>
      <c r="H30" s="4"/>
    </row>
    <row r="31" customFormat="false" ht="15" hidden="false" customHeight="false" outlineLevel="0" collapsed="false">
      <c r="A31" s="4" t="s">
        <v>33</v>
      </c>
      <c r="B31" s="4" t="n">
        <f aca="false">COUNTIF('Test Cases'!$B:$B,A31)</f>
        <v>6</v>
      </c>
      <c r="C31" s="4" t="n">
        <f aca="false">COUNTIFS('Test Cases'!$B:$B,$A31,'Test Cases'!$F:$F,"Critical")</f>
        <v>0</v>
      </c>
      <c r="D31" s="4" t="n">
        <f aca="false">COUNTIFS('Test Cases'!$B:$B,$A31,'Test Cases'!$F:$F,"High")</f>
        <v>0</v>
      </c>
      <c r="E31" s="4" t="n">
        <f aca="false">COUNTIFS('Test Cases'!$B:$B,$A31,'Test Cases'!$F:$F,"Medium")</f>
        <v>5</v>
      </c>
      <c r="F31" s="4" t="n">
        <f aca="false">COUNTIFS('Test Cases'!$B:$B,$A31,'Test Cases'!$F:$F,"Low")</f>
        <v>1</v>
      </c>
      <c r="G31" s="4"/>
      <c r="H31" s="4"/>
    </row>
    <row r="32" customFormat="false" ht="15" hidden="false" customHeight="false" outlineLevel="0" collapsed="false">
      <c r="A32" s="3" t="s">
        <v>11</v>
      </c>
      <c r="B32" s="3" t="n">
        <f aca="false">SUM(B16:B31)</f>
        <v>257</v>
      </c>
      <c r="C32" s="3" t="n">
        <f aca="false">SUM(C16:C31)</f>
        <v>105</v>
      </c>
      <c r="D32" s="3" t="n">
        <f aca="false">SUM(D16:D31)</f>
        <v>99</v>
      </c>
      <c r="E32" s="3" t="n">
        <f aca="false">SUM(E16:E31)</f>
        <v>45</v>
      </c>
      <c r="F32" s="3" t="n">
        <f aca="false">SUM(F16:F31)</f>
        <v>8</v>
      </c>
      <c r="G32" s="4"/>
      <c r="H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3" t="s">
        <v>34</v>
      </c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5" t="s">
        <v>35</v>
      </c>
      <c r="B36" s="5" t="s">
        <v>11</v>
      </c>
      <c r="C36" s="5" t="s">
        <v>14</v>
      </c>
      <c r="D36" s="5" t="s">
        <v>15</v>
      </c>
      <c r="E36" s="5" t="s">
        <v>16</v>
      </c>
      <c r="F36" s="5" t="s">
        <v>17</v>
      </c>
      <c r="G36" s="4"/>
      <c r="H36" s="4"/>
    </row>
    <row r="37" customFormat="false" ht="15" hidden="false" customHeight="false" outlineLevel="0" collapsed="false">
      <c r="A37" s="4" t="s">
        <v>36</v>
      </c>
      <c r="B37" s="4" t="n">
        <f aca="false">COUNTIF('Test Cases'!$C:$C,A37)</f>
        <v>182</v>
      </c>
      <c r="C37" s="4" t="n">
        <f aca="false">COUNTIFS('Test Cases'!$C:$C,$A37,'Test Cases'!$F:$F,"Critical")</f>
        <v>66</v>
      </c>
      <c r="D37" s="4" t="n">
        <f aca="false">COUNTIFS('Test Cases'!$C:$C,$A37,'Test Cases'!$F:$F,"High")</f>
        <v>71</v>
      </c>
      <c r="E37" s="4" t="n">
        <f aca="false">COUNTIFS('Test Cases'!$C:$C,$A37,'Test Cases'!$F:$F,"Medium")</f>
        <v>39</v>
      </c>
      <c r="F37" s="4" t="n">
        <f aca="false">COUNTIFS('Test Cases'!$C:$C,$A37,'Test Cases'!$F:$F,"Low")</f>
        <v>6</v>
      </c>
      <c r="G37" s="4"/>
      <c r="H37" s="4"/>
    </row>
    <row r="38" customFormat="false" ht="15" hidden="false" customHeight="false" outlineLevel="0" collapsed="false">
      <c r="A38" s="4" t="s">
        <v>37</v>
      </c>
      <c r="B38" s="4" t="n">
        <f aca="false">COUNTIF('Test Cases'!$C:$C,A38)</f>
        <v>62</v>
      </c>
      <c r="C38" s="4" t="n">
        <f aca="false">COUNTIFS('Test Cases'!$C:$C,$A38,'Test Cases'!$F:$F,"Critical")</f>
        <v>34</v>
      </c>
      <c r="D38" s="4" t="n">
        <f aca="false">COUNTIFS('Test Cases'!$C:$C,$A38,'Test Cases'!$F:$F,"High")</f>
        <v>21</v>
      </c>
      <c r="E38" s="4" t="n">
        <f aca="false">COUNTIFS('Test Cases'!$C:$C,$A38,'Test Cases'!$F:$F,"Medium")</f>
        <v>5</v>
      </c>
      <c r="F38" s="4" t="n">
        <f aca="false">COUNTIFS('Test Cases'!$C:$C,$A38,'Test Cases'!$F:$F,"Low")</f>
        <v>2</v>
      </c>
      <c r="G38" s="4"/>
      <c r="H38" s="4"/>
    </row>
    <row r="39" customFormat="false" ht="15" hidden="false" customHeight="false" outlineLevel="0" collapsed="false">
      <c r="A39" s="4" t="s">
        <v>38</v>
      </c>
      <c r="B39" s="4" t="n">
        <f aca="false">COUNTIF('Test Cases'!$C:$C,A39)</f>
        <v>5</v>
      </c>
      <c r="C39" s="4" t="n">
        <f aca="false">COUNTIFS('Test Cases'!$C:$C,$A39,'Test Cases'!$F:$F,"Critical")</f>
        <v>0</v>
      </c>
      <c r="D39" s="4" t="n">
        <f aca="false">COUNTIFS('Test Cases'!$C:$C,$A39,'Test Cases'!$F:$F,"High")</f>
        <v>4</v>
      </c>
      <c r="E39" s="4" t="n">
        <f aca="false">COUNTIFS('Test Cases'!$C:$C,$A39,'Test Cases'!$F:$F,"Medium")</f>
        <v>1</v>
      </c>
      <c r="F39" s="4" t="n">
        <f aca="false">COUNTIFS('Test Cases'!$C:$C,$A39,'Test Cases'!$F:$F,"Low")</f>
        <v>0</v>
      </c>
      <c r="G39" s="4"/>
      <c r="H39" s="4"/>
    </row>
    <row r="40" customFormat="false" ht="15" hidden="false" customHeight="false" outlineLevel="0" collapsed="false">
      <c r="A40" s="4" t="s">
        <v>39</v>
      </c>
      <c r="B40" s="4" t="n">
        <f aca="false">COUNTIF('Test Cases'!$C:$C,A40)</f>
        <v>8</v>
      </c>
      <c r="C40" s="4" t="n">
        <f aca="false">COUNTIFS('Test Cases'!$C:$C,$A40,'Test Cases'!$F:$F,"Critical")</f>
        <v>5</v>
      </c>
      <c r="D40" s="4" t="n">
        <f aca="false">COUNTIFS('Test Cases'!$C:$C,$A40,'Test Cases'!$F:$F,"High")</f>
        <v>3</v>
      </c>
      <c r="E40" s="4" t="n">
        <f aca="false">COUNTIFS('Test Cases'!$C:$C,$A40,'Test Cases'!$F:$F,"Medium")</f>
        <v>0</v>
      </c>
      <c r="F40" s="4" t="n">
        <f aca="false">COUNTIFS('Test Cases'!$C:$C,$A40,'Test Cases'!$F:$F,"Low")</f>
        <v>0</v>
      </c>
      <c r="G40" s="4"/>
      <c r="H40" s="4"/>
    </row>
    <row r="41" customFormat="false" ht="15" hidden="false" customHeight="false" outlineLevel="0" collapsed="false">
      <c r="A41" s="3" t="s">
        <v>11</v>
      </c>
      <c r="B41" s="3" t="n">
        <f aca="false">SUM(B37:B40)</f>
        <v>257</v>
      </c>
      <c r="C41" s="3" t="n">
        <f aca="false">SUM(C37:C40)</f>
        <v>105</v>
      </c>
      <c r="D41" s="3" t="n">
        <f aca="false">SUM(D37:D40)</f>
        <v>99</v>
      </c>
      <c r="E41" s="3" t="n">
        <f aca="false">SUM(E37:E40)</f>
        <v>45</v>
      </c>
      <c r="F41" s="3" t="n">
        <f aca="false">SUM(F37:F40)</f>
        <v>8</v>
      </c>
      <c r="G41" s="4"/>
      <c r="H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3" t="s">
        <v>40</v>
      </c>
      <c r="B44" s="4"/>
      <c r="C44" s="4"/>
      <c r="D44" s="4"/>
      <c r="E44" s="4"/>
      <c r="F44" s="4"/>
      <c r="G44" s="4"/>
      <c r="H44" s="4"/>
    </row>
    <row r="45" customFormat="false" ht="15" hidden="false" customHeight="false" outlineLevel="0" collapsed="false">
      <c r="A45" s="5" t="s">
        <v>41</v>
      </c>
      <c r="B45" s="5" t="s">
        <v>11</v>
      </c>
      <c r="C45" s="5" t="s">
        <v>14</v>
      </c>
      <c r="D45" s="5" t="s">
        <v>15</v>
      </c>
      <c r="E45" s="5" t="s">
        <v>16</v>
      </c>
      <c r="F45" s="5" t="s">
        <v>17</v>
      </c>
      <c r="G45" s="4"/>
      <c r="H45" s="4"/>
    </row>
    <row r="46" customFormat="false" ht="15" hidden="false" customHeight="false" outlineLevel="0" collapsed="false">
      <c r="A46" s="4" t="s">
        <v>42</v>
      </c>
      <c r="B46" s="4" t="n">
        <f aca="false">COUNTIF('Test Cases'!$E:$E,A46)</f>
        <v>93</v>
      </c>
      <c r="C46" s="4" t="n">
        <f aca="false">COUNTIFS('Test Cases'!$E:$E,$A46,'Test Cases'!$F:$F,"Critical")</f>
        <v>28</v>
      </c>
      <c r="D46" s="4" t="n">
        <f aca="false">COUNTIFS('Test Cases'!$E:$E,$A46,'Test Cases'!$F:$F,"High")</f>
        <v>38</v>
      </c>
      <c r="E46" s="4" t="n">
        <f aca="false">COUNTIFS('Test Cases'!$E:$E,$A46,'Test Cases'!$F:$F,"Medium")</f>
        <v>23</v>
      </c>
      <c r="F46" s="4" t="n">
        <f aca="false">COUNTIFS('Test Cases'!$E:$E,$A46,'Test Cases'!$F:$F,"Low")</f>
        <v>4</v>
      </c>
      <c r="G46" s="4"/>
      <c r="H46" s="4"/>
    </row>
    <row r="47" customFormat="false" ht="15" hidden="false" customHeight="false" outlineLevel="0" collapsed="false">
      <c r="A47" s="4" t="s">
        <v>43</v>
      </c>
      <c r="B47" s="4" t="n">
        <f aca="false">COUNTIF('Test Cases'!$E:$E,A47)</f>
        <v>89</v>
      </c>
      <c r="C47" s="4" t="n">
        <f aca="false">COUNTIFS('Test Cases'!$E:$E,$A47,'Test Cases'!$F:$F,"Critical")</f>
        <v>42</v>
      </c>
      <c r="D47" s="4" t="n">
        <f aca="false">COUNTIFS('Test Cases'!$E:$E,$A47,'Test Cases'!$F:$F,"High")</f>
        <v>30</v>
      </c>
      <c r="E47" s="4" t="n">
        <f aca="false">COUNTIFS('Test Cases'!$E:$E,$A47,'Test Cases'!$F:$F,"Medium")</f>
        <v>15</v>
      </c>
      <c r="F47" s="4" t="n">
        <f aca="false">COUNTIFS('Test Cases'!$E:$E,$A47,'Test Cases'!$F:$F,"Low")</f>
        <v>2</v>
      </c>
      <c r="G47" s="4"/>
      <c r="H47" s="4"/>
    </row>
    <row r="48" customFormat="false" ht="15" hidden="false" customHeight="false" outlineLevel="0" collapsed="false">
      <c r="A48" s="4" t="s">
        <v>44</v>
      </c>
      <c r="B48" s="4" t="n">
        <f aca="false">COUNTIF('Test Cases'!$E:$E,A48)</f>
        <v>22</v>
      </c>
      <c r="C48" s="4" t="n">
        <f aca="false">COUNTIFS('Test Cases'!$E:$E,$A48,'Test Cases'!$F:$F,"Critical")</f>
        <v>14</v>
      </c>
      <c r="D48" s="4" t="n">
        <f aca="false">COUNTIFS('Test Cases'!$E:$E,$A48,'Test Cases'!$F:$F,"High")</f>
        <v>4</v>
      </c>
      <c r="E48" s="4" t="n">
        <f aca="false">COUNTIFS('Test Cases'!$E:$E,$A48,'Test Cases'!$F:$F,"Medium")</f>
        <v>2</v>
      </c>
      <c r="F48" s="4" t="n">
        <f aca="false">COUNTIFS('Test Cases'!$E:$E,$A48,'Test Cases'!$F:$F,"Low")</f>
        <v>2</v>
      </c>
      <c r="G48" s="4"/>
      <c r="H48" s="4"/>
    </row>
    <row r="49" customFormat="false" ht="15" hidden="false" customHeight="false" outlineLevel="0" collapsed="false">
      <c r="A49" s="4" t="s">
        <v>31</v>
      </c>
      <c r="B49" s="4" t="n">
        <f aca="false">COUNTIF('Test Cases'!$E:$E,A49)</f>
        <v>8</v>
      </c>
      <c r="C49" s="4" t="n">
        <f aca="false">COUNTIFS('Test Cases'!$E:$E,$A49,'Test Cases'!$F:$F,"Critical")</f>
        <v>5</v>
      </c>
      <c r="D49" s="4" t="n">
        <f aca="false">COUNTIFS('Test Cases'!$E:$E,$A49,'Test Cases'!$F:$F,"High")</f>
        <v>3</v>
      </c>
      <c r="E49" s="4" t="n">
        <f aca="false">COUNTIFS('Test Cases'!$E:$E,$A49,'Test Cases'!$F:$F,"Medium")</f>
        <v>0</v>
      </c>
      <c r="F49" s="4" t="n">
        <f aca="false">COUNTIFS('Test Cases'!$E:$E,$A49,'Test Cases'!$F:$F,"Low")</f>
        <v>0</v>
      </c>
      <c r="G49" s="4"/>
      <c r="H49" s="4"/>
    </row>
    <row r="50" customFormat="false" ht="15" hidden="false" customHeight="false" outlineLevel="0" collapsed="false">
      <c r="A50" s="4" t="s">
        <v>45</v>
      </c>
      <c r="B50" s="4" t="n">
        <f aca="false">COUNTIF('Test Cases'!$E:$E,A50)</f>
        <v>21</v>
      </c>
      <c r="C50" s="4" t="n">
        <f aca="false">COUNTIFS('Test Cases'!$E:$E,$A50,'Test Cases'!$F:$F,"Critical")</f>
        <v>11</v>
      </c>
      <c r="D50" s="4" t="n">
        <f aca="false">COUNTIFS('Test Cases'!$E:$E,$A50,'Test Cases'!$F:$F,"High")</f>
        <v>9</v>
      </c>
      <c r="E50" s="4" t="n">
        <f aca="false">COUNTIFS('Test Cases'!$E:$E,$A50,'Test Cases'!$F:$F,"Medium")</f>
        <v>1</v>
      </c>
      <c r="F50" s="4" t="n">
        <f aca="false">COUNTIFS('Test Cases'!$E:$E,$A50,'Test Cases'!$F:$F,"Low")</f>
        <v>0</v>
      </c>
      <c r="G50" s="4"/>
      <c r="H50" s="4"/>
    </row>
    <row r="51" customFormat="false" ht="15" hidden="false" customHeight="false" outlineLevel="0" collapsed="false">
      <c r="A51" s="4" t="s">
        <v>46</v>
      </c>
      <c r="B51" s="4" t="n">
        <f aca="false">COUNTIF('Test Cases'!$E:$E,A51)</f>
        <v>24</v>
      </c>
      <c r="C51" s="4" t="n">
        <f aca="false">COUNTIFS('Test Cases'!$E:$E,$A51,'Test Cases'!$F:$F,"Critical")</f>
        <v>5</v>
      </c>
      <c r="D51" s="4" t="n">
        <f aca="false">COUNTIFS('Test Cases'!$E:$E,$A51,'Test Cases'!$F:$F,"High")</f>
        <v>15</v>
      </c>
      <c r="E51" s="4" t="n">
        <f aca="false">COUNTIFS('Test Cases'!$E:$E,$A51,'Test Cases'!$F:$F,"Medium")</f>
        <v>4</v>
      </c>
      <c r="F51" s="4" t="n">
        <f aca="false">COUNTIFS('Test Cases'!$E:$E,$A51,'Test Cases'!$F:$F,"Low")</f>
        <v>0</v>
      </c>
      <c r="G51" s="4"/>
      <c r="H51" s="4"/>
    </row>
    <row r="52" customFormat="false" ht="15" hidden="false" customHeight="false" outlineLevel="0" collapsed="false">
      <c r="A52" s="3" t="s">
        <v>11</v>
      </c>
      <c r="B52" s="3" t="n">
        <f aca="false">SUM(B46:B51)</f>
        <v>257</v>
      </c>
      <c r="C52" s="3" t="n">
        <f aca="false">SUM(C46:C51)</f>
        <v>105</v>
      </c>
      <c r="D52" s="3" t="n">
        <f aca="false">SUM(D46:D51)</f>
        <v>99</v>
      </c>
      <c r="E52" s="3" t="n">
        <f aca="false">SUM(E46:E51)</f>
        <v>45</v>
      </c>
      <c r="F52" s="3" t="n">
        <f aca="false">SUM(F46:F51)</f>
        <v>8</v>
      </c>
      <c r="G52" s="4"/>
      <c r="H52" s="4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10" min="9" style="0" width="48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4" min="14" style="0" width="11"/>
    <col collapsed="false" customWidth="true" hidden="false" outlineLevel="0" max="15" min="15" style="0" width="28"/>
    <col collapsed="false" customWidth="true" hidden="false" outlineLevel="0" max="16" min="16" style="0" width="11"/>
    <col collapsed="false" customWidth="true" hidden="false" outlineLevel="0" max="17" min="17" style="0" width="18"/>
    <col collapsed="false" customWidth="true" hidden="false" outlineLevel="0" max="18" min="18" style="0" width="13"/>
    <col collapsed="false" customWidth="true" hidden="false" outlineLevel="0" max="19" min="19" style="0" width="12"/>
  </cols>
  <sheetData>
    <row r="1" customFormat="false" ht="30" hidden="false" customHeight="true" outlineLevel="0" collapsed="false">
      <c r="A1" s="5" t="s">
        <v>47</v>
      </c>
      <c r="B1" s="5" t="s">
        <v>13</v>
      </c>
      <c r="C1" s="5" t="s">
        <v>35</v>
      </c>
      <c r="D1" s="5" t="s">
        <v>48</v>
      </c>
      <c r="E1" s="5" t="s">
        <v>41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3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</row>
    <row r="2" customFormat="false" ht="35.05" hidden="false" customHeight="false" outlineLevel="0" collapsed="false">
      <c r="A2" s="7" t="s">
        <v>62</v>
      </c>
      <c r="B2" s="7" t="s">
        <v>18</v>
      </c>
      <c r="C2" s="7" t="s">
        <v>36</v>
      </c>
      <c r="D2" s="7" t="s">
        <v>63</v>
      </c>
      <c r="E2" s="7" t="s">
        <v>42</v>
      </c>
      <c r="F2" s="7" t="s">
        <v>14</v>
      </c>
      <c r="G2" s="7" t="s">
        <v>64</v>
      </c>
      <c r="H2" s="7" t="s">
        <v>65</v>
      </c>
      <c r="I2" s="7" t="s">
        <v>66</v>
      </c>
      <c r="J2" s="7" t="s">
        <v>67</v>
      </c>
      <c r="K2" s="7" t="s">
        <v>68</v>
      </c>
      <c r="L2" s="7"/>
      <c r="M2" s="7" t="s">
        <v>69</v>
      </c>
      <c r="N2" s="7" t="s">
        <v>6</v>
      </c>
      <c r="O2" s="7"/>
      <c r="P2" s="7"/>
      <c r="Q2" s="7"/>
      <c r="R2" s="7"/>
      <c r="S2" s="7"/>
    </row>
    <row r="3" customFormat="false" ht="35.05" hidden="false" customHeight="false" outlineLevel="0" collapsed="false">
      <c r="A3" s="7" t="s">
        <v>70</v>
      </c>
      <c r="B3" s="7" t="s">
        <v>18</v>
      </c>
      <c r="C3" s="7" t="s">
        <v>36</v>
      </c>
      <c r="D3" s="7" t="s">
        <v>71</v>
      </c>
      <c r="E3" s="7" t="s">
        <v>42</v>
      </c>
      <c r="F3" s="7" t="s">
        <v>16</v>
      </c>
      <c r="G3" s="7" t="s">
        <v>72</v>
      </c>
      <c r="H3" s="7"/>
      <c r="I3" s="7" t="s">
        <v>73</v>
      </c>
      <c r="J3" s="7" t="s">
        <v>74</v>
      </c>
      <c r="K3" s="7" t="s">
        <v>68</v>
      </c>
      <c r="L3" s="7"/>
      <c r="M3" s="7" t="s">
        <v>69</v>
      </c>
      <c r="N3" s="7" t="s">
        <v>6</v>
      </c>
      <c r="O3" s="7"/>
      <c r="P3" s="7"/>
      <c r="Q3" s="7"/>
      <c r="R3" s="7"/>
      <c r="S3" s="7"/>
    </row>
    <row r="4" customFormat="false" ht="23.85" hidden="false" customHeight="false" outlineLevel="0" collapsed="false">
      <c r="A4" s="7" t="s">
        <v>75</v>
      </c>
      <c r="B4" s="7" t="s">
        <v>18</v>
      </c>
      <c r="C4" s="7" t="s">
        <v>36</v>
      </c>
      <c r="D4" s="7" t="s">
        <v>76</v>
      </c>
      <c r="E4" s="7" t="s">
        <v>42</v>
      </c>
      <c r="F4" s="7" t="s">
        <v>17</v>
      </c>
      <c r="G4" s="7" t="s">
        <v>77</v>
      </c>
      <c r="H4" s="7" t="s">
        <v>65</v>
      </c>
      <c r="I4" s="7" t="s">
        <v>78</v>
      </c>
      <c r="J4" s="7" t="s">
        <v>79</v>
      </c>
      <c r="K4" s="7" t="s">
        <v>68</v>
      </c>
      <c r="L4" s="7"/>
      <c r="M4" s="7" t="s">
        <v>69</v>
      </c>
      <c r="N4" s="7" t="s">
        <v>6</v>
      </c>
      <c r="O4" s="7"/>
      <c r="P4" s="7"/>
      <c r="Q4" s="7"/>
      <c r="R4" s="7"/>
      <c r="S4" s="7"/>
    </row>
    <row r="5" customFormat="false" ht="46.25" hidden="false" customHeight="false" outlineLevel="0" collapsed="false">
      <c r="A5" s="7" t="s">
        <v>80</v>
      </c>
      <c r="B5" s="7" t="s">
        <v>18</v>
      </c>
      <c r="C5" s="7" t="s">
        <v>36</v>
      </c>
      <c r="D5" s="7" t="s">
        <v>81</v>
      </c>
      <c r="E5" s="7" t="s">
        <v>42</v>
      </c>
      <c r="F5" s="7" t="s">
        <v>14</v>
      </c>
      <c r="G5" s="7" t="s">
        <v>82</v>
      </c>
      <c r="H5" s="7" t="s">
        <v>83</v>
      </c>
      <c r="I5" s="7" t="s">
        <v>84</v>
      </c>
      <c r="J5" s="7" t="s">
        <v>85</v>
      </c>
      <c r="K5" s="7" t="s">
        <v>68</v>
      </c>
      <c r="L5" s="7"/>
      <c r="M5" s="7" t="s">
        <v>69</v>
      </c>
      <c r="N5" s="7" t="s">
        <v>6</v>
      </c>
      <c r="O5" s="7"/>
      <c r="P5" s="7"/>
      <c r="Q5" s="7"/>
      <c r="R5" s="7"/>
      <c r="S5" s="7"/>
    </row>
    <row r="6" customFormat="false" ht="23.85" hidden="false" customHeight="false" outlineLevel="0" collapsed="false">
      <c r="A6" s="7" t="s">
        <v>86</v>
      </c>
      <c r="B6" s="7" t="s">
        <v>18</v>
      </c>
      <c r="C6" s="7" t="s">
        <v>36</v>
      </c>
      <c r="D6" s="7" t="s">
        <v>87</v>
      </c>
      <c r="E6" s="7" t="s">
        <v>42</v>
      </c>
      <c r="F6" s="7" t="s">
        <v>16</v>
      </c>
      <c r="G6" s="7" t="s">
        <v>88</v>
      </c>
      <c r="H6" s="7" t="s">
        <v>83</v>
      </c>
      <c r="I6" s="7" t="s">
        <v>89</v>
      </c>
      <c r="J6" s="7" t="s">
        <v>90</v>
      </c>
      <c r="K6" s="7" t="s">
        <v>68</v>
      </c>
      <c r="L6" s="7"/>
      <c r="M6" s="7" t="s">
        <v>69</v>
      </c>
      <c r="N6" s="7" t="s">
        <v>6</v>
      </c>
      <c r="O6" s="7"/>
      <c r="P6" s="7"/>
      <c r="Q6" s="7"/>
      <c r="R6" s="7"/>
      <c r="S6" s="7"/>
    </row>
    <row r="7" customFormat="false" ht="23.85" hidden="false" customHeight="false" outlineLevel="0" collapsed="false">
      <c r="A7" s="7" t="s">
        <v>91</v>
      </c>
      <c r="B7" s="7" t="s">
        <v>18</v>
      </c>
      <c r="C7" s="7" t="s">
        <v>36</v>
      </c>
      <c r="D7" s="7" t="s">
        <v>92</v>
      </c>
      <c r="E7" s="7" t="s">
        <v>43</v>
      </c>
      <c r="F7" s="7" t="s">
        <v>14</v>
      </c>
      <c r="G7" s="7" t="s">
        <v>77</v>
      </c>
      <c r="H7" s="7" t="s">
        <v>93</v>
      </c>
      <c r="I7" s="7" t="s">
        <v>94</v>
      </c>
      <c r="J7" s="7" t="s">
        <v>95</v>
      </c>
      <c r="K7" s="7" t="s">
        <v>68</v>
      </c>
      <c r="L7" s="7"/>
      <c r="M7" s="7" t="s">
        <v>69</v>
      </c>
      <c r="N7" s="7" t="s">
        <v>6</v>
      </c>
      <c r="O7" s="7"/>
      <c r="P7" s="7"/>
      <c r="Q7" s="7"/>
      <c r="R7" s="7"/>
      <c r="S7" s="7"/>
    </row>
    <row r="8" customFormat="false" ht="23.85" hidden="false" customHeight="false" outlineLevel="0" collapsed="false">
      <c r="A8" s="7" t="s">
        <v>96</v>
      </c>
      <c r="B8" s="7" t="s">
        <v>18</v>
      </c>
      <c r="C8" s="7" t="s">
        <v>36</v>
      </c>
      <c r="D8" s="7" t="s">
        <v>97</v>
      </c>
      <c r="E8" s="7" t="s">
        <v>43</v>
      </c>
      <c r="F8" s="7" t="s">
        <v>14</v>
      </c>
      <c r="G8" s="7" t="s">
        <v>77</v>
      </c>
      <c r="H8" s="7" t="s">
        <v>98</v>
      </c>
      <c r="I8" s="7" t="s">
        <v>99</v>
      </c>
      <c r="J8" s="7" t="s">
        <v>100</v>
      </c>
      <c r="K8" s="7" t="s">
        <v>68</v>
      </c>
      <c r="L8" s="7"/>
      <c r="M8" s="7" t="s">
        <v>69</v>
      </c>
      <c r="N8" s="7" t="s">
        <v>6</v>
      </c>
      <c r="O8" s="7"/>
      <c r="P8" s="7"/>
      <c r="Q8" s="7"/>
      <c r="R8" s="7"/>
      <c r="S8" s="7"/>
    </row>
    <row r="9" customFormat="false" ht="23.85" hidden="false" customHeight="false" outlineLevel="0" collapsed="false">
      <c r="A9" s="7" t="s">
        <v>101</v>
      </c>
      <c r="B9" s="7" t="s">
        <v>18</v>
      </c>
      <c r="C9" s="7" t="s">
        <v>36</v>
      </c>
      <c r="D9" s="7" t="s">
        <v>102</v>
      </c>
      <c r="E9" s="7" t="s">
        <v>43</v>
      </c>
      <c r="F9" s="7" t="s">
        <v>15</v>
      </c>
      <c r="G9" s="7" t="s">
        <v>77</v>
      </c>
      <c r="H9" s="7" t="s">
        <v>103</v>
      </c>
      <c r="I9" s="7" t="s">
        <v>104</v>
      </c>
      <c r="J9" s="7" t="s">
        <v>105</v>
      </c>
      <c r="K9" s="7" t="s">
        <v>68</v>
      </c>
      <c r="L9" s="7"/>
      <c r="M9" s="7" t="s">
        <v>69</v>
      </c>
      <c r="N9" s="7" t="s">
        <v>6</v>
      </c>
      <c r="O9" s="7"/>
      <c r="P9" s="7"/>
      <c r="Q9" s="7"/>
      <c r="R9" s="7"/>
      <c r="S9" s="7"/>
    </row>
    <row r="10" customFormat="false" ht="23.85" hidden="false" customHeight="false" outlineLevel="0" collapsed="false">
      <c r="A10" s="7" t="s">
        <v>106</v>
      </c>
      <c r="B10" s="7" t="s">
        <v>18</v>
      </c>
      <c r="C10" s="7" t="s">
        <v>36</v>
      </c>
      <c r="D10" s="7" t="s">
        <v>107</v>
      </c>
      <c r="E10" s="7" t="s">
        <v>43</v>
      </c>
      <c r="F10" s="7" t="s">
        <v>15</v>
      </c>
      <c r="G10" s="7" t="s">
        <v>77</v>
      </c>
      <c r="H10" s="7" t="s">
        <v>108</v>
      </c>
      <c r="I10" s="7" t="s">
        <v>109</v>
      </c>
      <c r="J10" s="7" t="s">
        <v>110</v>
      </c>
      <c r="K10" s="7" t="s">
        <v>68</v>
      </c>
      <c r="L10" s="7"/>
      <c r="M10" s="7" t="s">
        <v>69</v>
      </c>
      <c r="N10" s="7" t="s">
        <v>6</v>
      </c>
      <c r="O10" s="7"/>
      <c r="P10" s="7"/>
      <c r="Q10" s="7"/>
      <c r="R10" s="7"/>
      <c r="S10" s="7"/>
    </row>
    <row r="11" customFormat="false" ht="23.85" hidden="false" customHeight="false" outlineLevel="0" collapsed="false">
      <c r="A11" s="7" t="s">
        <v>111</v>
      </c>
      <c r="B11" s="7" t="s">
        <v>18</v>
      </c>
      <c r="C11" s="7" t="s">
        <v>36</v>
      </c>
      <c r="D11" s="7" t="s">
        <v>112</v>
      </c>
      <c r="E11" s="7" t="s">
        <v>43</v>
      </c>
      <c r="F11" s="7" t="s">
        <v>15</v>
      </c>
      <c r="G11" s="7" t="s">
        <v>77</v>
      </c>
      <c r="H11" s="7" t="s">
        <v>83</v>
      </c>
      <c r="I11" s="7" t="s">
        <v>113</v>
      </c>
      <c r="J11" s="7" t="s">
        <v>114</v>
      </c>
      <c r="K11" s="7" t="s">
        <v>68</v>
      </c>
      <c r="L11" s="7"/>
      <c r="M11" s="7" t="s">
        <v>69</v>
      </c>
      <c r="N11" s="7" t="s">
        <v>6</v>
      </c>
      <c r="O11" s="7"/>
      <c r="P11" s="7"/>
      <c r="Q11" s="7"/>
      <c r="R11" s="7"/>
      <c r="S11" s="7"/>
    </row>
    <row r="12" customFormat="false" ht="23.85" hidden="false" customHeight="false" outlineLevel="0" collapsed="false">
      <c r="A12" s="7" t="s">
        <v>115</v>
      </c>
      <c r="B12" s="7" t="s">
        <v>18</v>
      </c>
      <c r="C12" s="7" t="s">
        <v>36</v>
      </c>
      <c r="D12" s="7" t="s">
        <v>116</v>
      </c>
      <c r="E12" s="7" t="s">
        <v>43</v>
      </c>
      <c r="F12" s="7" t="s">
        <v>16</v>
      </c>
      <c r="G12" s="7" t="s">
        <v>77</v>
      </c>
      <c r="H12" s="7" t="s">
        <v>117</v>
      </c>
      <c r="I12" s="7" t="s">
        <v>118</v>
      </c>
      <c r="J12" s="7" t="s">
        <v>119</v>
      </c>
      <c r="K12" s="7" t="s">
        <v>68</v>
      </c>
      <c r="L12" s="7"/>
      <c r="M12" s="7" t="s">
        <v>69</v>
      </c>
      <c r="N12" s="7" t="s">
        <v>6</v>
      </c>
      <c r="O12" s="7"/>
      <c r="P12" s="7"/>
      <c r="Q12" s="7"/>
      <c r="R12" s="7"/>
      <c r="S12" s="7"/>
    </row>
    <row r="13" customFormat="false" ht="35.05" hidden="false" customHeight="false" outlineLevel="0" collapsed="false">
      <c r="A13" s="7" t="s">
        <v>120</v>
      </c>
      <c r="B13" s="7" t="s">
        <v>18</v>
      </c>
      <c r="C13" s="7" t="s">
        <v>36</v>
      </c>
      <c r="D13" s="7" t="s">
        <v>121</v>
      </c>
      <c r="E13" s="7" t="s">
        <v>43</v>
      </c>
      <c r="F13" s="7" t="s">
        <v>14</v>
      </c>
      <c r="G13" s="7" t="s">
        <v>122</v>
      </c>
      <c r="H13" s="7" t="s">
        <v>123</v>
      </c>
      <c r="I13" s="7" t="s">
        <v>124</v>
      </c>
      <c r="J13" s="7" t="s">
        <v>125</v>
      </c>
      <c r="K13" s="7" t="s">
        <v>68</v>
      </c>
      <c r="L13" s="7" t="s">
        <v>126</v>
      </c>
      <c r="M13" s="7" t="s">
        <v>69</v>
      </c>
      <c r="N13" s="7" t="s">
        <v>6</v>
      </c>
      <c r="O13" s="7"/>
      <c r="P13" s="7"/>
      <c r="Q13" s="7"/>
      <c r="R13" s="7"/>
      <c r="S13" s="7"/>
    </row>
    <row r="14" customFormat="false" ht="35.05" hidden="false" customHeight="false" outlineLevel="0" collapsed="false">
      <c r="A14" s="7" t="s">
        <v>127</v>
      </c>
      <c r="B14" s="7" t="s">
        <v>18</v>
      </c>
      <c r="C14" s="7" t="s">
        <v>36</v>
      </c>
      <c r="D14" s="7" t="s">
        <v>128</v>
      </c>
      <c r="E14" s="7" t="s">
        <v>43</v>
      </c>
      <c r="F14" s="7" t="s">
        <v>14</v>
      </c>
      <c r="G14" s="7" t="s">
        <v>129</v>
      </c>
      <c r="H14" s="7" t="s">
        <v>130</v>
      </c>
      <c r="I14" s="7" t="s">
        <v>131</v>
      </c>
      <c r="J14" s="7" t="s">
        <v>132</v>
      </c>
      <c r="K14" s="7" t="s">
        <v>68</v>
      </c>
      <c r="L14" s="7" t="s">
        <v>133</v>
      </c>
      <c r="M14" s="7" t="s">
        <v>69</v>
      </c>
      <c r="N14" s="7" t="s">
        <v>6</v>
      </c>
      <c r="O14" s="7"/>
      <c r="P14" s="7"/>
      <c r="Q14" s="7"/>
      <c r="R14" s="7"/>
      <c r="S14" s="7"/>
    </row>
    <row r="15" customFormat="false" ht="23.85" hidden="false" customHeight="false" outlineLevel="0" collapsed="false">
      <c r="A15" s="7" t="s">
        <v>134</v>
      </c>
      <c r="B15" s="7" t="s">
        <v>18</v>
      </c>
      <c r="C15" s="7" t="s">
        <v>36</v>
      </c>
      <c r="D15" s="7" t="s">
        <v>135</v>
      </c>
      <c r="E15" s="7" t="s">
        <v>44</v>
      </c>
      <c r="F15" s="7" t="s">
        <v>15</v>
      </c>
      <c r="G15" s="7" t="s">
        <v>136</v>
      </c>
      <c r="H15" s="7" t="s">
        <v>137</v>
      </c>
      <c r="I15" s="7" t="s">
        <v>138</v>
      </c>
      <c r="J15" s="7" t="s">
        <v>139</v>
      </c>
      <c r="K15" s="7" t="s">
        <v>68</v>
      </c>
      <c r="L15" s="7" t="s">
        <v>140</v>
      </c>
      <c r="M15" s="7" t="s">
        <v>69</v>
      </c>
      <c r="N15" s="7" t="s">
        <v>6</v>
      </c>
      <c r="O15" s="7"/>
      <c r="P15" s="7"/>
      <c r="Q15" s="7"/>
      <c r="R15" s="7"/>
      <c r="S15" s="7"/>
    </row>
    <row r="16" customFormat="false" ht="23.85" hidden="false" customHeight="false" outlineLevel="0" collapsed="false">
      <c r="A16" s="7" t="s">
        <v>141</v>
      </c>
      <c r="B16" s="7" t="s">
        <v>18</v>
      </c>
      <c r="C16" s="7" t="s">
        <v>36</v>
      </c>
      <c r="D16" s="7" t="s">
        <v>142</v>
      </c>
      <c r="E16" s="7" t="s">
        <v>43</v>
      </c>
      <c r="F16" s="7" t="s">
        <v>14</v>
      </c>
      <c r="G16" s="7" t="s">
        <v>143</v>
      </c>
      <c r="H16" s="7"/>
      <c r="I16" s="7" t="s">
        <v>144</v>
      </c>
      <c r="J16" s="7" t="s">
        <v>145</v>
      </c>
      <c r="K16" s="7" t="s">
        <v>68</v>
      </c>
      <c r="L16" s="7"/>
      <c r="M16" s="7" t="s">
        <v>69</v>
      </c>
      <c r="N16" s="7" t="s">
        <v>6</v>
      </c>
      <c r="O16" s="7"/>
      <c r="P16" s="7"/>
      <c r="Q16" s="7"/>
      <c r="R16" s="7"/>
      <c r="S16" s="7"/>
    </row>
    <row r="17" customFormat="false" ht="35.05" hidden="false" customHeight="false" outlineLevel="0" collapsed="false">
      <c r="A17" s="7" t="s">
        <v>146</v>
      </c>
      <c r="B17" s="7" t="s">
        <v>18</v>
      </c>
      <c r="C17" s="7" t="s">
        <v>36</v>
      </c>
      <c r="D17" s="7" t="s">
        <v>147</v>
      </c>
      <c r="E17" s="7" t="s">
        <v>43</v>
      </c>
      <c r="F17" s="7" t="s">
        <v>14</v>
      </c>
      <c r="G17" s="7" t="s">
        <v>148</v>
      </c>
      <c r="H17" s="7" t="s">
        <v>149</v>
      </c>
      <c r="I17" s="7" t="s">
        <v>150</v>
      </c>
      <c r="J17" s="7" t="s">
        <v>151</v>
      </c>
      <c r="K17" s="7" t="s">
        <v>68</v>
      </c>
      <c r="L17" s="7"/>
      <c r="M17" s="7" t="s">
        <v>69</v>
      </c>
      <c r="N17" s="7" t="s">
        <v>6</v>
      </c>
      <c r="O17" s="7"/>
      <c r="P17" s="7"/>
      <c r="Q17" s="7"/>
      <c r="R17" s="7"/>
      <c r="S17" s="7"/>
    </row>
    <row r="18" customFormat="false" ht="35.05" hidden="false" customHeight="false" outlineLevel="0" collapsed="false">
      <c r="A18" s="7" t="s">
        <v>152</v>
      </c>
      <c r="B18" s="7" t="s">
        <v>18</v>
      </c>
      <c r="C18" s="7" t="s">
        <v>36</v>
      </c>
      <c r="D18" s="7" t="s">
        <v>153</v>
      </c>
      <c r="E18" s="7" t="s">
        <v>45</v>
      </c>
      <c r="F18" s="7" t="s">
        <v>15</v>
      </c>
      <c r="G18" s="7" t="s">
        <v>77</v>
      </c>
      <c r="H18" s="7"/>
      <c r="I18" s="7" t="s">
        <v>154</v>
      </c>
      <c r="J18" s="7" t="s">
        <v>155</v>
      </c>
      <c r="K18" s="7" t="s">
        <v>68</v>
      </c>
      <c r="L18" s="7"/>
      <c r="M18" s="7" t="s">
        <v>69</v>
      </c>
      <c r="N18" s="7" t="s">
        <v>6</v>
      </c>
      <c r="O18" s="7"/>
      <c r="P18" s="7"/>
      <c r="Q18" s="7"/>
      <c r="R18" s="7"/>
      <c r="S18" s="7"/>
    </row>
    <row r="19" customFormat="false" ht="23.85" hidden="false" customHeight="false" outlineLevel="0" collapsed="false">
      <c r="A19" s="7" t="s">
        <v>156</v>
      </c>
      <c r="B19" s="7" t="s">
        <v>18</v>
      </c>
      <c r="C19" s="7" t="s">
        <v>36</v>
      </c>
      <c r="D19" s="7" t="s">
        <v>157</v>
      </c>
      <c r="E19" s="7" t="s">
        <v>43</v>
      </c>
      <c r="F19" s="7" t="s">
        <v>16</v>
      </c>
      <c r="G19" s="7" t="s">
        <v>158</v>
      </c>
      <c r="H19" s="7" t="s">
        <v>159</v>
      </c>
      <c r="I19" s="7" t="s">
        <v>160</v>
      </c>
      <c r="J19" s="7" t="s">
        <v>161</v>
      </c>
      <c r="K19" s="7" t="s">
        <v>68</v>
      </c>
      <c r="L19" s="7" t="s">
        <v>162</v>
      </c>
      <c r="M19" s="7" t="s">
        <v>69</v>
      </c>
      <c r="N19" s="7" t="s">
        <v>6</v>
      </c>
      <c r="O19" s="7"/>
      <c r="P19" s="7"/>
      <c r="Q19" s="7"/>
      <c r="R19" s="7"/>
      <c r="S19" s="7"/>
    </row>
    <row r="20" customFormat="false" ht="35.05" hidden="false" customHeight="false" outlineLevel="0" collapsed="false">
      <c r="A20" s="7" t="s">
        <v>163</v>
      </c>
      <c r="B20" s="7" t="s">
        <v>18</v>
      </c>
      <c r="C20" s="7" t="s">
        <v>36</v>
      </c>
      <c r="D20" s="7" t="s">
        <v>164</v>
      </c>
      <c r="E20" s="7" t="s">
        <v>45</v>
      </c>
      <c r="F20" s="7" t="s">
        <v>15</v>
      </c>
      <c r="G20" s="7" t="s">
        <v>77</v>
      </c>
      <c r="H20" s="7" t="s">
        <v>165</v>
      </c>
      <c r="I20" s="7" t="s">
        <v>166</v>
      </c>
      <c r="J20" s="7" t="s">
        <v>167</v>
      </c>
      <c r="K20" s="7" t="s">
        <v>68</v>
      </c>
      <c r="L20" s="7"/>
      <c r="M20" s="7" t="s">
        <v>69</v>
      </c>
      <c r="N20" s="7" t="s">
        <v>6</v>
      </c>
      <c r="O20" s="7"/>
      <c r="P20" s="7"/>
      <c r="Q20" s="7"/>
      <c r="R20" s="7"/>
      <c r="S20" s="7"/>
    </row>
    <row r="21" customFormat="false" ht="23.85" hidden="false" customHeight="false" outlineLevel="0" collapsed="false">
      <c r="A21" s="7" t="s">
        <v>168</v>
      </c>
      <c r="B21" s="7" t="s">
        <v>18</v>
      </c>
      <c r="C21" s="7" t="s">
        <v>36</v>
      </c>
      <c r="D21" s="7" t="s">
        <v>169</v>
      </c>
      <c r="E21" s="7" t="s">
        <v>45</v>
      </c>
      <c r="F21" s="7" t="s">
        <v>15</v>
      </c>
      <c r="G21" s="7" t="s">
        <v>77</v>
      </c>
      <c r="H21" s="7" t="s">
        <v>170</v>
      </c>
      <c r="I21" s="7" t="s">
        <v>171</v>
      </c>
      <c r="J21" s="7" t="s">
        <v>172</v>
      </c>
      <c r="K21" s="7" t="s">
        <v>68</v>
      </c>
      <c r="L21" s="7"/>
      <c r="M21" s="7" t="s">
        <v>69</v>
      </c>
      <c r="N21" s="7" t="s">
        <v>6</v>
      </c>
      <c r="O21" s="7"/>
      <c r="P21" s="7"/>
      <c r="Q21" s="7"/>
      <c r="R21" s="7"/>
      <c r="S21" s="7"/>
    </row>
    <row r="22" customFormat="false" ht="23.85" hidden="false" customHeight="false" outlineLevel="0" collapsed="false">
      <c r="A22" s="7" t="s">
        <v>173</v>
      </c>
      <c r="B22" s="7" t="s">
        <v>18</v>
      </c>
      <c r="C22" s="7" t="s">
        <v>36</v>
      </c>
      <c r="D22" s="7" t="s">
        <v>174</v>
      </c>
      <c r="E22" s="7" t="s">
        <v>44</v>
      </c>
      <c r="F22" s="7" t="s">
        <v>17</v>
      </c>
      <c r="G22" s="7" t="s">
        <v>77</v>
      </c>
      <c r="H22" s="7" t="s">
        <v>175</v>
      </c>
      <c r="I22" s="7" t="s">
        <v>176</v>
      </c>
      <c r="J22" s="7" t="s">
        <v>177</v>
      </c>
      <c r="K22" s="7" t="s">
        <v>68</v>
      </c>
      <c r="L22" s="7" t="s">
        <v>178</v>
      </c>
      <c r="M22" s="7" t="s">
        <v>69</v>
      </c>
      <c r="N22" s="7" t="s">
        <v>6</v>
      </c>
      <c r="O22" s="7"/>
      <c r="P22" s="7"/>
      <c r="Q22" s="7"/>
      <c r="R22" s="7"/>
      <c r="S22" s="7"/>
    </row>
    <row r="23" customFormat="false" ht="35.05" hidden="false" customHeight="false" outlineLevel="0" collapsed="false">
      <c r="A23" s="7" t="s">
        <v>179</v>
      </c>
      <c r="B23" s="7" t="s">
        <v>18</v>
      </c>
      <c r="C23" s="7" t="s">
        <v>36</v>
      </c>
      <c r="D23" s="7" t="s">
        <v>180</v>
      </c>
      <c r="E23" s="7" t="s">
        <v>42</v>
      </c>
      <c r="F23" s="7" t="s">
        <v>16</v>
      </c>
      <c r="G23" s="7" t="s">
        <v>181</v>
      </c>
      <c r="H23" s="7" t="s">
        <v>182</v>
      </c>
      <c r="I23" s="7" t="s">
        <v>183</v>
      </c>
      <c r="J23" s="7" t="s">
        <v>184</v>
      </c>
      <c r="K23" s="7" t="s">
        <v>68</v>
      </c>
      <c r="L23" s="7"/>
      <c r="M23" s="7" t="s">
        <v>69</v>
      </c>
      <c r="N23" s="7" t="s">
        <v>6</v>
      </c>
      <c r="O23" s="7"/>
      <c r="P23" s="7"/>
      <c r="Q23" s="7"/>
      <c r="R23" s="7"/>
      <c r="S23" s="7"/>
    </row>
    <row r="24" customFormat="false" ht="35.05" hidden="false" customHeight="false" outlineLevel="0" collapsed="false">
      <c r="A24" s="7" t="s">
        <v>185</v>
      </c>
      <c r="B24" s="7" t="s">
        <v>18</v>
      </c>
      <c r="C24" s="7" t="s">
        <v>36</v>
      </c>
      <c r="D24" s="7" t="s">
        <v>186</v>
      </c>
      <c r="E24" s="7" t="s">
        <v>45</v>
      </c>
      <c r="F24" s="7" t="s">
        <v>15</v>
      </c>
      <c r="G24" s="7" t="s">
        <v>187</v>
      </c>
      <c r="H24" s="7" t="s">
        <v>188</v>
      </c>
      <c r="I24" s="7" t="s">
        <v>189</v>
      </c>
      <c r="J24" s="7" t="s">
        <v>190</v>
      </c>
      <c r="K24" s="7" t="s">
        <v>191</v>
      </c>
      <c r="L24" s="7"/>
      <c r="M24" s="7" t="s">
        <v>69</v>
      </c>
      <c r="N24" s="7" t="s">
        <v>6</v>
      </c>
      <c r="O24" s="7"/>
      <c r="P24" s="7"/>
      <c r="Q24" s="7"/>
      <c r="R24" s="7"/>
      <c r="S24" s="7"/>
    </row>
    <row r="25" customFormat="false" ht="35.05" hidden="false" customHeight="false" outlineLevel="0" collapsed="false">
      <c r="A25" s="7" t="s">
        <v>192</v>
      </c>
      <c r="B25" s="7" t="s">
        <v>18</v>
      </c>
      <c r="C25" s="7" t="s">
        <v>36</v>
      </c>
      <c r="D25" s="7" t="s">
        <v>193</v>
      </c>
      <c r="E25" s="7" t="s">
        <v>42</v>
      </c>
      <c r="F25" s="7" t="s">
        <v>15</v>
      </c>
      <c r="G25" s="7" t="s">
        <v>194</v>
      </c>
      <c r="H25" s="7" t="s">
        <v>195</v>
      </c>
      <c r="I25" s="7" t="s">
        <v>196</v>
      </c>
      <c r="J25" s="7" t="s">
        <v>197</v>
      </c>
      <c r="K25" s="7" t="s">
        <v>68</v>
      </c>
      <c r="L25" s="7" t="s">
        <v>198</v>
      </c>
      <c r="M25" s="7" t="s">
        <v>69</v>
      </c>
      <c r="N25" s="7" t="s">
        <v>6</v>
      </c>
      <c r="O25" s="7"/>
      <c r="P25" s="7"/>
      <c r="Q25" s="7"/>
      <c r="R25" s="7"/>
      <c r="S25" s="7"/>
    </row>
    <row r="26" customFormat="false" ht="23.85" hidden="false" customHeight="false" outlineLevel="0" collapsed="false">
      <c r="A26" s="7" t="s">
        <v>199</v>
      </c>
      <c r="B26" s="7" t="s">
        <v>18</v>
      </c>
      <c r="C26" s="7" t="s">
        <v>36</v>
      </c>
      <c r="D26" s="7" t="s">
        <v>200</v>
      </c>
      <c r="E26" s="7" t="s">
        <v>43</v>
      </c>
      <c r="F26" s="7" t="s">
        <v>16</v>
      </c>
      <c r="G26" s="7" t="s">
        <v>88</v>
      </c>
      <c r="H26" s="7"/>
      <c r="I26" s="7" t="s">
        <v>201</v>
      </c>
      <c r="J26" s="7" t="s">
        <v>202</v>
      </c>
      <c r="K26" s="7" t="s">
        <v>68</v>
      </c>
      <c r="L26" s="7" t="s">
        <v>203</v>
      </c>
      <c r="M26" s="7" t="s">
        <v>69</v>
      </c>
      <c r="N26" s="7" t="s">
        <v>6</v>
      </c>
      <c r="O26" s="7"/>
      <c r="P26" s="7"/>
      <c r="Q26" s="7"/>
      <c r="R26" s="7"/>
      <c r="S26" s="7"/>
    </row>
    <row r="27" customFormat="false" ht="35.05" hidden="false" customHeight="false" outlineLevel="0" collapsed="false">
      <c r="A27" s="7" t="s">
        <v>204</v>
      </c>
      <c r="B27" s="7" t="s">
        <v>18</v>
      </c>
      <c r="C27" s="7" t="s">
        <v>37</v>
      </c>
      <c r="D27" s="7" t="s">
        <v>205</v>
      </c>
      <c r="E27" s="7" t="s">
        <v>43</v>
      </c>
      <c r="F27" s="7" t="s">
        <v>14</v>
      </c>
      <c r="G27" s="7" t="s">
        <v>206</v>
      </c>
      <c r="H27" s="7" t="s">
        <v>207</v>
      </c>
      <c r="I27" s="7" t="s">
        <v>208</v>
      </c>
      <c r="J27" s="7" t="s">
        <v>209</v>
      </c>
      <c r="K27" s="7" t="s">
        <v>68</v>
      </c>
      <c r="L27" s="7"/>
      <c r="M27" s="7" t="s">
        <v>210</v>
      </c>
      <c r="N27" s="7" t="s">
        <v>6</v>
      </c>
      <c r="O27" s="7"/>
      <c r="P27" s="7"/>
      <c r="Q27" s="7"/>
      <c r="R27" s="7"/>
      <c r="S27" s="7"/>
    </row>
    <row r="28" customFormat="false" ht="35.05" hidden="false" customHeight="false" outlineLevel="0" collapsed="false">
      <c r="A28" s="7" t="s">
        <v>211</v>
      </c>
      <c r="B28" s="7" t="s">
        <v>18</v>
      </c>
      <c r="C28" s="7" t="s">
        <v>37</v>
      </c>
      <c r="D28" s="7" t="s">
        <v>212</v>
      </c>
      <c r="E28" s="7" t="s">
        <v>43</v>
      </c>
      <c r="F28" s="7" t="s">
        <v>14</v>
      </c>
      <c r="G28" s="7"/>
      <c r="H28" s="7" t="s">
        <v>213</v>
      </c>
      <c r="I28" s="7" t="s">
        <v>214</v>
      </c>
      <c r="J28" s="7" t="s">
        <v>215</v>
      </c>
      <c r="K28" s="7" t="s">
        <v>68</v>
      </c>
      <c r="L28" s="7"/>
      <c r="M28" s="7" t="s">
        <v>210</v>
      </c>
      <c r="N28" s="7" t="s">
        <v>6</v>
      </c>
      <c r="O28" s="7"/>
      <c r="P28" s="7"/>
      <c r="Q28" s="7"/>
      <c r="R28" s="7"/>
      <c r="S28" s="7"/>
    </row>
    <row r="29" customFormat="false" ht="35.05" hidden="false" customHeight="false" outlineLevel="0" collapsed="false">
      <c r="A29" s="7" t="s">
        <v>216</v>
      </c>
      <c r="B29" s="7" t="s">
        <v>18</v>
      </c>
      <c r="C29" s="7" t="s">
        <v>37</v>
      </c>
      <c r="D29" s="7" t="s">
        <v>217</v>
      </c>
      <c r="E29" s="7" t="s">
        <v>42</v>
      </c>
      <c r="F29" s="7" t="s">
        <v>14</v>
      </c>
      <c r="G29" s="7"/>
      <c r="H29" s="7" t="s">
        <v>218</v>
      </c>
      <c r="I29" s="7" t="s">
        <v>219</v>
      </c>
      <c r="J29" s="7" t="s">
        <v>220</v>
      </c>
      <c r="K29" s="7" t="s">
        <v>68</v>
      </c>
      <c r="L29" s="7"/>
      <c r="M29" s="7" t="s">
        <v>210</v>
      </c>
      <c r="N29" s="7" t="s">
        <v>6</v>
      </c>
      <c r="O29" s="7"/>
      <c r="P29" s="7"/>
      <c r="Q29" s="7"/>
      <c r="R29" s="7"/>
      <c r="S29" s="7"/>
    </row>
    <row r="30" customFormat="false" ht="35.05" hidden="false" customHeight="false" outlineLevel="0" collapsed="false">
      <c r="A30" s="7" t="s">
        <v>221</v>
      </c>
      <c r="B30" s="7" t="s">
        <v>18</v>
      </c>
      <c r="C30" s="7" t="s">
        <v>37</v>
      </c>
      <c r="D30" s="7" t="s">
        <v>222</v>
      </c>
      <c r="E30" s="7" t="s">
        <v>42</v>
      </c>
      <c r="F30" s="7" t="s">
        <v>14</v>
      </c>
      <c r="G30" s="7"/>
      <c r="H30" s="7" t="s">
        <v>65</v>
      </c>
      <c r="I30" s="7" t="s">
        <v>223</v>
      </c>
      <c r="J30" s="7" t="s">
        <v>224</v>
      </c>
      <c r="K30" s="7" t="s">
        <v>68</v>
      </c>
      <c r="L30" s="7" t="s">
        <v>225</v>
      </c>
      <c r="M30" s="7" t="s">
        <v>210</v>
      </c>
      <c r="N30" s="7" t="s">
        <v>6</v>
      </c>
      <c r="O30" s="7"/>
      <c r="P30" s="7"/>
      <c r="Q30" s="7"/>
      <c r="R30" s="7"/>
      <c r="S30" s="7"/>
    </row>
    <row r="31" customFormat="false" ht="35.05" hidden="false" customHeight="false" outlineLevel="0" collapsed="false">
      <c r="A31" s="7" t="s">
        <v>226</v>
      </c>
      <c r="B31" s="7" t="s">
        <v>18</v>
      </c>
      <c r="C31" s="7" t="s">
        <v>37</v>
      </c>
      <c r="D31" s="7" t="s">
        <v>227</v>
      </c>
      <c r="E31" s="7" t="s">
        <v>43</v>
      </c>
      <c r="F31" s="7" t="s">
        <v>14</v>
      </c>
      <c r="G31" s="7"/>
      <c r="H31" s="7" t="s">
        <v>228</v>
      </c>
      <c r="I31" s="7" t="s">
        <v>229</v>
      </c>
      <c r="J31" s="7" t="s">
        <v>230</v>
      </c>
      <c r="K31" s="7" t="s">
        <v>68</v>
      </c>
      <c r="L31" s="7" t="s">
        <v>225</v>
      </c>
      <c r="M31" s="7" t="s">
        <v>210</v>
      </c>
      <c r="N31" s="7" t="s">
        <v>6</v>
      </c>
      <c r="O31" s="7"/>
      <c r="P31" s="7"/>
      <c r="Q31" s="7"/>
      <c r="R31" s="7"/>
      <c r="S31" s="7"/>
    </row>
    <row r="32" customFormat="false" ht="35.05" hidden="false" customHeight="false" outlineLevel="0" collapsed="false">
      <c r="A32" s="7" t="s">
        <v>231</v>
      </c>
      <c r="B32" s="7" t="s">
        <v>18</v>
      </c>
      <c r="C32" s="7" t="s">
        <v>37</v>
      </c>
      <c r="D32" s="7" t="s">
        <v>232</v>
      </c>
      <c r="E32" s="7" t="s">
        <v>43</v>
      </c>
      <c r="F32" s="7" t="s">
        <v>14</v>
      </c>
      <c r="G32" s="7"/>
      <c r="H32" s="7" t="s">
        <v>123</v>
      </c>
      <c r="I32" s="7" t="s">
        <v>233</v>
      </c>
      <c r="J32" s="7" t="s">
        <v>234</v>
      </c>
      <c r="K32" s="7" t="s">
        <v>68</v>
      </c>
      <c r="L32" s="7" t="s">
        <v>225</v>
      </c>
      <c r="M32" s="7" t="s">
        <v>210</v>
      </c>
      <c r="N32" s="7" t="s">
        <v>6</v>
      </c>
      <c r="O32" s="7"/>
      <c r="P32" s="7"/>
      <c r="Q32" s="7"/>
      <c r="R32" s="7"/>
      <c r="S32" s="7"/>
    </row>
    <row r="33" customFormat="false" ht="35.05" hidden="false" customHeight="false" outlineLevel="0" collapsed="false">
      <c r="A33" s="7" t="s">
        <v>235</v>
      </c>
      <c r="B33" s="7" t="s">
        <v>18</v>
      </c>
      <c r="C33" s="7" t="s">
        <v>37</v>
      </c>
      <c r="D33" s="7" t="s">
        <v>236</v>
      </c>
      <c r="E33" s="7" t="s">
        <v>43</v>
      </c>
      <c r="F33" s="7" t="s">
        <v>15</v>
      </c>
      <c r="G33" s="7"/>
      <c r="H33" s="7" t="s">
        <v>237</v>
      </c>
      <c r="I33" s="7" t="s">
        <v>238</v>
      </c>
      <c r="J33" s="7" t="s">
        <v>239</v>
      </c>
      <c r="K33" s="7" t="s">
        <v>68</v>
      </c>
      <c r="L33" s="7" t="s">
        <v>225</v>
      </c>
      <c r="M33" s="7" t="s">
        <v>210</v>
      </c>
      <c r="N33" s="7" t="s">
        <v>6</v>
      </c>
      <c r="O33" s="7"/>
      <c r="P33" s="7"/>
      <c r="Q33" s="7"/>
      <c r="R33" s="7"/>
      <c r="S33" s="7"/>
    </row>
    <row r="34" customFormat="false" ht="35.05" hidden="false" customHeight="false" outlineLevel="0" collapsed="false">
      <c r="A34" s="7" t="s">
        <v>240</v>
      </c>
      <c r="B34" s="7" t="s">
        <v>18</v>
      </c>
      <c r="C34" s="7" t="s">
        <v>37</v>
      </c>
      <c r="D34" s="7" t="s">
        <v>241</v>
      </c>
      <c r="E34" s="7" t="s">
        <v>45</v>
      </c>
      <c r="F34" s="7" t="s">
        <v>14</v>
      </c>
      <c r="G34" s="7" t="s">
        <v>242</v>
      </c>
      <c r="H34" s="7" t="s">
        <v>243</v>
      </c>
      <c r="I34" s="7" t="s">
        <v>244</v>
      </c>
      <c r="J34" s="7" t="s">
        <v>245</v>
      </c>
      <c r="K34" s="7" t="s">
        <v>191</v>
      </c>
      <c r="L34" s="7"/>
      <c r="M34" s="7" t="s">
        <v>210</v>
      </c>
      <c r="N34" s="7" t="s">
        <v>6</v>
      </c>
      <c r="O34" s="7"/>
      <c r="P34" s="7"/>
      <c r="Q34" s="7"/>
      <c r="R34" s="7"/>
      <c r="S34" s="7"/>
    </row>
    <row r="35" customFormat="false" ht="35.05" hidden="false" customHeight="false" outlineLevel="0" collapsed="false">
      <c r="A35" s="7" t="s">
        <v>246</v>
      </c>
      <c r="B35" s="7" t="s">
        <v>18</v>
      </c>
      <c r="C35" s="7" t="s">
        <v>37</v>
      </c>
      <c r="D35" s="7" t="s">
        <v>247</v>
      </c>
      <c r="E35" s="7" t="s">
        <v>42</v>
      </c>
      <c r="F35" s="7" t="s">
        <v>15</v>
      </c>
      <c r="G35" s="7" t="s">
        <v>248</v>
      </c>
      <c r="H35" s="7"/>
      <c r="I35" s="7" t="s">
        <v>249</v>
      </c>
      <c r="J35" s="7" t="s">
        <v>250</v>
      </c>
      <c r="K35" s="7" t="s">
        <v>68</v>
      </c>
      <c r="L35" s="7" t="s">
        <v>225</v>
      </c>
      <c r="M35" s="7" t="s">
        <v>210</v>
      </c>
      <c r="N35" s="7" t="s">
        <v>6</v>
      </c>
      <c r="O35" s="7"/>
      <c r="P35" s="7"/>
      <c r="Q35" s="7"/>
      <c r="R35" s="7"/>
      <c r="S35" s="7"/>
    </row>
    <row r="36" customFormat="false" ht="23.85" hidden="false" customHeight="false" outlineLevel="0" collapsed="false">
      <c r="A36" s="7" t="s">
        <v>251</v>
      </c>
      <c r="B36" s="7" t="s">
        <v>19</v>
      </c>
      <c r="C36" s="7" t="s">
        <v>36</v>
      </c>
      <c r="D36" s="7" t="s">
        <v>252</v>
      </c>
      <c r="E36" s="7" t="s">
        <v>42</v>
      </c>
      <c r="F36" s="7" t="s">
        <v>15</v>
      </c>
      <c r="G36" s="7" t="s">
        <v>88</v>
      </c>
      <c r="H36" s="7" t="s">
        <v>83</v>
      </c>
      <c r="I36" s="7" t="s">
        <v>253</v>
      </c>
      <c r="J36" s="7" t="s">
        <v>254</v>
      </c>
      <c r="K36" s="7" t="s">
        <v>255</v>
      </c>
      <c r="L36" s="7"/>
      <c r="M36" s="7" t="s">
        <v>256</v>
      </c>
      <c r="N36" s="7" t="s">
        <v>6</v>
      </c>
      <c r="O36" s="7"/>
      <c r="P36" s="7"/>
      <c r="Q36" s="7"/>
      <c r="R36" s="7"/>
      <c r="S36" s="7"/>
    </row>
    <row r="37" customFormat="false" ht="23.85" hidden="false" customHeight="false" outlineLevel="0" collapsed="false">
      <c r="A37" s="7" t="s">
        <v>257</v>
      </c>
      <c r="B37" s="7" t="s">
        <v>19</v>
      </c>
      <c r="C37" s="7" t="s">
        <v>36</v>
      </c>
      <c r="D37" s="7" t="s">
        <v>258</v>
      </c>
      <c r="E37" s="7" t="s">
        <v>42</v>
      </c>
      <c r="F37" s="7" t="s">
        <v>15</v>
      </c>
      <c r="G37" s="7" t="s">
        <v>259</v>
      </c>
      <c r="H37" s="7" t="s">
        <v>260</v>
      </c>
      <c r="I37" s="7" t="s">
        <v>261</v>
      </c>
      <c r="J37" s="7" t="s">
        <v>262</v>
      </c>
      <c r="K37" s="7" t="s">
        <v>255</v>
      </c>
      <c r="L37" s="7"/>
      <c r="M37" s="7" t="s">
        <v>256</v>
      </c>
      <c r="N37" s="7" t="s">
        <v>6</v>
      </c>
      <c r="O37" s="7"/>
      <c r="P37" s="7"/>
      <c r="Q37" s="7"/>
      <c r="R37" s="7"/>
      <c r="S37" s="7"/>
    </row>
    <row r="38" customFormat="false" ht="23.85" hidden="false" customHeight="false" outlineLevel="0" collapsed="false">
      <c r="A38" s="7" t="s">
        <v>263</v>
      </c>
      <c r="B38" s="7" t="s">
        <v>19</v>
      </c>
      <c r="C38" s="7" t="s">
        <v>36</v>
      </c>
      <c r="D38" s="7" t="s">
        <v>264</v>
      </c>
      <c r="E38" s="7" t="s">
        <v>42</v>
      </c>
      <c r="F38" s="7" t="s">
        <v>15</v>
      </c>
      <c r="G38" s="7" t="s">
        <v>265</v>
      </c>
      <c r="H38" s="7" t="s">
        <v>266</v>
      </c>
      <c r="I38" s="7" t="s">
        <v>267</v>
      </c>
      <c r="J38" s="7" t="s">
        <v>268</v>
      </c>
      <c r="K38" s="7" t="s">
        <v>255</v>
      </c>
      <c r="L38" s="7" t="s">
        <v>269</v>
      </c>
      <c r="M38" s="7" t="s">
        <v>256</v>
      </c>
      <c r="N38" s="7" t="s">
        <v>6</v>
      </c>
      <c r="O38" s="7"/>
      <c r="P38" s="7"/>
      <c r="Q38" s="7"/>
      <c r="R38" s="7"/>
      <c r="S38" s="7"/>
    </row>
    <row r="39" customFormat="false" ht="23.85" hidden="false" customHeight="false" outlineLevel="0" collapsed="false">
      <c r="A39" s="7" t="s">
        <v>270</v>
      </c>
      <c r="B39" s="7" t="s">
        <v>19</v>
      </c>
      <c r="C39" s="7" t="s">
        <v>36</v>
      </c>
      <c r="D39" s="7" t="s">
        <v>271</v>
      </c>
      <c r="E39" s="7" t="s">
        <v>42</v>
      </c>
      <c r="F39" s="7" t="s">
        <v>15</v>
      </c>
      <c r="G39" s="7" t="s">
        <v>272</v>
      </c>
      <c r="H39" s="7" t="s">
        <v>273</v>
      </c>
      <c r="I39" s="7" t="s">
        <v>274</v>
      </c>
      <c r="J39" s="7" t="s">
        <v>275</v>
      </c>
      <c r="K39" s="7" t="s">
        <v>276</v>
      </c>
      <c r="L39" s="7" t="s">
        <v>269</v>
      </c>
      <c r="M39" s="7" t="s">
        <v>256</v>
      </c>
      <c r="N39" s="7" t="s">
        <v>6</v>
      </c>
      <c r="O39" s="7"/>
      <c r="P39" s="7"/>
      <c r="Q39" s="7"/>
      <c r="R39" s="7"/>
      <c r="S39" s="7"/>
    </row>
    <row r="40" customFormat="false" ht="23.85" hidden="false" customHeight="false" outlineLevel="0" collapsed="false">
      <c r="A40" s="7" t="s">
        <v>277</v>
      </c>
      <c r="B40" s="7" t="s">
        <v>19</v>
      </c>
      <c r="C40" s="7" t="s">
        <v>36</v>
      </c>
      <c r="D40" s="7" t="s">
        <v>278</v>
      </c>
      <c r="E40" s="7" t="s">
        <v>42</v>
      </c>
      <c r="F40" s="7" t="s">
        <v>14</v>
      </c>
      <c r="G40" s="7" t="s">
        <v>88</v>
      </c>
      <c r="H40" s="7" t="s">
        <v>83</v>
      </c>
      <c r="I40" s="7" t="s">
        <v>279</v>
      </c>
      <c r="J40" s="7" t="s">
        <v>280</v>
      </c>
      <c r="K40" s="7" t="s">
        <v>255</v>
      </c>
      <c r="L40" s="7"/>
      <c r="M40" s="7" t="s">
        <v>256</v>
      </c>
      <c r="N40" s="7" t="s">
        <v>6</v>
      </c>
      <c r="O40" s="7"/>
      <c r="P40" s="7"/>
      <c r="Q40" s="7"/>
      <c r="R40" s="7"/>
      <c r="S40" s="7"/>
    </row>
    <row r="41" customFormat="false" ht="23.85" hidden="false" customHeight="false" outlineLevel="0" collapsed="false">
      <c r="A41" s="7" t="s">
        <v>281</v>
      </c>
      <c r="B41" s="7" t="s">
        <v>19</v>
      </c>
      <c r="C41" s="7" t="s">
        <v>36</v>
      </c>
      <c r="D41" s="7" t="s">
        <v>282</v>
      </c>
      <c r="E41" s="7" t="s">
        <v>42</v>
      </c>
      <c r="F41" s="7" t="s">
        <v>14</v>
      </c>
      <c r="G41" s="7" t="s">
        <v>283</v>
      </c>
      <c r="H41" s="7" t="s">
        <v>266</v>
      </c>
      <c r="I41" s="7" t="s">
        <v>284</v>
      </c>
      <c r="J41" s="7" t="s">
        <v>285</v>
      </c>
      <c r="K41" s="7" t="s">
        <v>286</v>
      </c>
      <c r="L41" s="7"/>
      <c r="M41" s="7" t="s">
        <v>256</v>
      </c>
      <c r="N41" s="7" t="s">
        <v>6</v>
      </c>
      <c r="O41" s="7"/>
      <c r="P41" s="7"/>
      <c r="Q41" s="7"/>
      <c r="R41" s="7"/>
      <c r="S41" s="7"/>
    </row>
    <row r="42" customFormat="false" ht="23.85" hidden="false" customHeight="false" outlineLevel="0" collapsed="false">
      <c r="A42" s="7" t="s">
        <v>287</v>
      </c>
      <c r="B42" s="7" t="s">
        <v>19</v>
      </c>
      <c r="C42" s="7" t="s">
        <v>36</v>
      </c>
      <c r="D42" s="7" t="s">
        <v>288</v>
      </c>
      <c r="E42" s="7" t="s">
        <v>42</v>
      </c>
      <c r="F42" s="7" t="s">
        <v>15</v>
      </c>
      <c r="G42" s="7" t="s">
        <v>289</v>
      </c>
      <c r="H42" s="7" t="s">
        <v>83</v>
      </c>
      <c r="I42" s="7" t="s">
        <v>290</v>
      </c>
      <c r="J42" s="7" t="s">
        <v>291</v>
      </c>
      <c r="K42" s="7" t="s">
        <v>255</v>
      </c>
      <c r="L42" s="7" t="s">
        <v>292</v>
      </c>
      <c r="M42" s="7" t="s">
        <v>256</v>
      </c>
      <c r="N42" s="7" t="s">
        <v>6</v>
      </c>
      <c r="O42" s="7"/>
      <c r="P42" s="7"/>
      <c r="Q42" s="7"/>
      <c r="R42" s="7"/>
      <c r="S42" s="7"/>
    </row>
    <row r="43" customFormat="false" ht="23.85" hidden="false" customHeight="false" outlineLevel="0" collapsed="false">
      <c r="A43" s="7" t="s">
        <v>293</v>
      </c>
      <c r="B43" s="7" t="s">
        <v>19</v>
      </c>
      <c r="C43" s="7" t="s">
        <v>36</v>
      </c>
      <c r="D43" s="7" t="s">
        <v>294</v>
      </c>
      <c r="E43" s="7" t="s">
        <v>42</v>
      </c>
      <c r="F43" s="7" t="s">
        <v>16</v>
      </c>
      <c r="G43" s="7" t="s">
        <v>295</v>
      </c>
      <c r="H43" s="7" t="s">
        <v>83</v>
      </c>
      <c r="I43" s="7" t="s">
        <v>296</v>
      </c>
      <c r="J43" s="7" t="s">
        <v>297</v>
      </c>
      <c r="K43" s="7" t="s">
        <v>255</v>
      </c>
      <c r="L43" s="7" t="s">
        <v>298</v>
      </c>
      <c r="M43" s="7" t="s">
        <v>256</v>
      </c>
      <c r="N43" s="7" t="s">
        <v>6</v>
      </c>
      <c r="O43" s="7"/>
      <c r="P43" s="7"/>
      <c r="Q43" s="7"/>
      <c r="R43" s="7"/>
      <c r="S43" s="7"/>
    </row>
    <row r="44" customFormat="false" ht="35.05" hidden="false" customHeight="false" outlineLevel="0" collapsed="false">
      <c r="A44" s="7" t="s">
        <v>299</v>
      </c>
      <c r="B44" s="7" t="s">
        <v>19</v>
      </c>
      <c r="C44" s="7" t="s">
        <v>36</v>
      </c>
      <c r="D44" s="7" t="s">
        <v>300</v>
      </c>
      <c r="E44" s="7" t="s">
        <v>42</v>
      </c>
      <c r="F44" s="7" t="s">
        <v>15</v>
      </c>
      <c r="G44" s="7" t="s">
        <v>301</v>
      </c>
      <c r="H44" s="7" t="s">
        <v>83</v>
      </c>
      <c r="I44" s="7" t="s">
        <v>302</v>
      </c>
      <c r="J44" s="7" t="s">
        <v>303</v>
      </c>
      <c r="K44" s="7" t="s">
        <v>276</v>
      </c>
      <c r="L44" s="7"/>
      <c r="M44" s="7" t="s">
        <v>256</v>
      </c>
      <c r="N44" s="7" t="s">
        <v>6</v>
      </c>
      <c r="O44" s="7"/>
      <c r="P44" s="7"/>
      <c r="Q44" s="7"/>
      <c r="R44" s="7"/>
      <c r="S44" s="7"/>
    </row>
    <row r="45" customFormat="false" ht="35.05" hidden="false" customHeight="false" outlineLevel="0" collapsed="false">
      <c r="A45" s="7" t="s">
        <v>304</v>
      </c>
      <c r="B45" s="7" t="s">
        <v>19</v>
      </c>
      <c r="C45" s="7" t="s">
        <v>36</v>
      </c>
      <c r="D45" s="7" t="s">
        <v>305</v>
      </c>
      <c r="E45" s="7" t="s">
        <v>45</v>
      </c>
      <c r="F45" s="7" t="s">
        <v>14</v>
      </c>
      <c r="G45" s="7" t="s">
        <v>306</v>
      </c>
      <c r="H45" s="7" t="s">
        <v>307</v>
      </c>
      <c r="I45" s="7" t="s">
        <v>308</v>
      </c>
      <c r="J45" s="7" t="s">
        <v>309</v>
      </c>
      <c r="K45" s="7" t="s">
        <v>255</v>
      </c>
      <c r="L45" s="7"/>
      <c r="M45" s="7" t="s">
        <v>256</v>
      </c>
      <c r="N45" s="7" t="s">
        <v>6</v>
      </c>
      <c r="O45" s="7"/>
      <c r="P45" s="7"/>
      <c r="Q45" s="7"/>
      <c r="R45" s="7"/>
      <c r="S45" s="7"/>
    </row>
    <row r="46" customFormat="false" ht="35.05" hidden="false" customHeight="false" outlineLevel="0" collapsed="false">
      <c r="A46" s="7" t="s">
        <v>310</v>
      </c>
      <c r="B46" s="7" t="s">
        <v>19</v>
      </c>
      <c r="C46" s="7" t="s">
        <v>36</v>
      </c>
      <c r="D46" s="7" t="s">
        <v>311</v>
      </c>
      <c r="E46" s="7" t="s">
        <v>45</v>
      </c>
      <c r="F46" s="7" t="s">
        <v>14</v>
      </c>
      <c r="G46" s="7" t="s">
        <v>312</v>
      </c>
      <c r="H46" s="7" t="s">
        <v>313</v>
      </c>
      <c r="I46" s="7" t="s">
        <v>314</v>
      </c>
      <c r="J46" s="7" t="s">
        <v>315</v>
      </c>
      <c r="K46" s="7" t="s">
        <v>255</v>
      </c>
      <c r="L46" s="7"/>
      <c r="M46" s="7" t="s">
        <v>256</v>
      </c>
      <c r="N46" s="7" t="s">
        <v>6</v>
      </c>
      <c r="O46" s="7"/>
      <c r="P46" s="7"/>
      <c r="Q46" s="7"/>
      <c r="R46" s="7"/>
      <c r="S46" s="7"/>
    </row>
    <row r="47" customFormat="false" ht="23.85" hidden="false" customHeight="false" outlineLevel="0" collapsed="false">
      <c r="A47" s="7" t="s">
        <v>316</v>
      </c>
      <c r="B47" s="7" t="s">
        <v>19</v>
      </c>
      <c r="C47" s="7" t="s">
        <v>36</v>
      </c>
      <c r="D47" s="7" t="s">
        <v>317</v>
      </c>
      <c r="E47" s="7" t="s">
        <v>43</v>
      </c>
      <c r="F47" s="7" t="s">
        <v>16</v>
      </c>
      <c r="G47" s="7" t="s">
        <v>88</v>
      </c>
      <c r="H47" s="7" t="s">
        <v>318</v>
      </c>
      <c r="I47" s="7" t="s">
        <v>319</v>
      </c>
      <c r="J47" s="7" t="s">
        <v>320</v>
      </c>
      <c r="K47" s="7" t="s">
        <v>255</v>
      </c>
      <c r="L47" s="7"/>
      <c r="M47" s="7" t="s">
        <v>256</v>
      </c>
      <c r="N47" s="7" t="s">
        <v>6</v>
      </c>
      <c r="O47" s="7"/>
      <c r="P47" s="7"/>
      <c r="Q47" s="7"/>
      <c r="R47" s="7"/>
      <c r="S47" s="7"/>
    </row>
    <row r="48" customFormat="false" ht="23.85" hidden="false" customHeight="false" outlineLevel="0" collapsed="false">
      <c r="A48" s="7" t="s">
        <v>321</v>
      </c>
      <c r="B48" s="7" t="s">
        <v>19</v>
      </c>
      <c r="C48" s="7" t="s">
        <v>36</v>
      </c>
      <c r="D48" s="7" t="s">
        <v>322</v>
      </c>
      <c r="E48" s="7" t="s">
        <v>42</v>
      </c>
      <c r="F48" s="7" t="s">
        <v>14</v>
      </c>
      <c r="G48" s="7" t="s">
        <v>323</v>
      </c>
      <c r="H48" s="7" t="s">
        <v>273</v>
      </c>
      <c r="I48" s="7" t="s">
        <v>324</v>
      </c>
      <c r="J48" s="7" t="s">
        <v>325</v>
      </c>
      <c r="K48" s="7" t="s">
        <v>286</v>
      </c>
      <c r="L48" s="7"/>
      <c r="M48" s="7" t="s">
        <v>256</v>
      </c>
      <c r="N48" s="7" t="s">
        <v>6</v>
      </c>
      <c r="O48" s="7"/>
      <c r="P48" s="7"/>
      <c r="Q48" s="7"/>
      <c r="R48" s="7"/>
      <c r="S48" s="7"/>
    </row>
    <row r="49" customFormat="false" ht="23.85" hidden="false" customHeight="false" outlineLevel="0" collapsed="false">
      <c r="A49" s="7" t="s">
        <v>326</v>
      </c>
      <c r="B49" s="7" t="s">
        <v>19</v>
      </c>
      <c r="C49" s="7" t="s">
        <v>36</v>
      </c>
      <c r="D49" s="7" t="s">
        <v>327</v>
      </c>
      <c r="E49" s="7" t="s">
        <v>42</v>
      </c>
      <c r="F49" s="7" t="s">
        <v>16</v>
      </c>
      <c r="G49" s="7" t="s">
        <v>328</v>
      </c>
      <c r="H49" s="7" t="s">
        <v>83</v>
      </c>
      <c r="I49" s="7" t="s">
        <v>329</v>
      </c>
      <c r="J49" s="7" t="s">
        <v>330</v>
      </c>
      <c r="K49" s="7" t="s">
        <v>276</v>
      </c>
      <c r="L49" s="7" t="s">
        <v>331</v>
      </c>
      <c r="M49" s="7" t="s">
        <v>256</v>
      </c>
      <c r="N49" s="7" t="s">
        <v>6</v>
      </c>
      <c r="O49" s="7"/>
      <c r="P49" s="7"/>
      <c r="Q49" s="7"/>
      <c r="R49" s="7"/>
      <c r="S49" s="7"/>
    </row>
    <row r="50" customFormat="false" ht="23.85" hidden="false" customHeight="false" outlineLevel="0" collapsed="false">
      <c r="A50" s="7" t="s">
        <v>332</v>
      </c>
      <c r="B50" s="7" t="s">
        <v>19</v>
      </c>
      <c r="C50" s="7" t="s">
        <v>36</v>
      </c>
      <c r="D50" s="7" t="s">
        <v>333</v>
      </c>
      <c r="E50" s="7" t="s">
        <v>42</v>
      </c>
      <c r="F50" s="7" t="s">
        <v>15</v>
      </c>
      <c r="G50" s="7" t="s">
        <v>88</v>
      </c>
      <c r="H50" s="7" t="s">
        <v>260</v>
      </c>
      <c r="I50" s="7" t="s">
        <v>334</v>
      </c>
      <c r="J50" s="7" t="s">
        <v>335</v>
      </c>
      <c r="K50" s="7" t="s">
        <v>255</v>
      </c>
      <c r="L50" s="7"/>
      <c r="M50" s="7" t="s">
        <v>256</v>
      </c>
      <c r="N50" s="7" t="s">
        <v>6</v>
      </c>
      <c r="O50" s="7"/>
      <c r="P50" s="7"/>
      <c r="Q50" s="7"/>
      <c r="R50" s="7"/>
      <c r="S50" s="7"/>
    </row>
    <row r="51" customFormat="false" ht="23.85" hidden="false" customHeight="false" outlineLevel="0" collapsed="false">
      <c r="A51" s="7" t="s">
        <v>336</v>
      </c>
      <c r="B51" s="7" t="s">
        <v>19</v>
      </c>
      <c r="C51" s="7" t="s">
        <v>36</v>
      </c>
      <c r="D51" s="7" t="s">
        <v>337</v>
      </c>
      <c r="E51" s="7" t="s">
        <v>42</v>
      </c>
      <c r="F51" s="7" t="s">
        <v>17</v>
      </c>
      <c r="G51" s="7" t="s">
        <v>338</v>
      </c>
      <c r="H51" s="7" t="s">
        <v>83</v>
      </c>
      <c r="I51" s="7" t="s">
        <v>339</v>
      </c>
      <c r="J51" s="7" t="s">
        <v>340</v>
      </c>
      <c r="K51" s="7" t="s">
        <v>255</v>
      </c>
      <c r="L51" s="7" t="s">
        <v>341</v>
      </c>
      <c r="M51" s="7" t="s">
        <v>256</v>
      </c>
      <c r="N51" s="7" t="s">
        <v>6</v>
      </c>
      <c r="O51" s="7"/>
      <c r="P51" s="7"/>
      <c r="Q51" s="7"/>
      <c r="R51" s="7"/>
      <c r="S51" s="7"/>
    </row>
    <row r="52" customFormat="false" ht="23.85" hidden="false" customHeight="false" outlineLevel="0" collapsed="false">
      <c r="A52" s="7" t="s">
        <v>342</v>
      </c>
      <c r="B52" s="7" t="s">
        <v>19</v>
      </c>
      <c r="C52" s="7" t="s">
        <v>37</v>
      </c>
      <c r="D52" s="7" t="s">
        <v>343</v>
      </c>
      <c r="E52" s="7" t="s">
        <v>45</v>
      </c>
      <c r="F52" s="7" t="s">
        <v>14</v>
      </c>
      <c r="G52" s="7" t="s">
        <v>344</v>
      </c>
      <c r="H52" s="7"/>
      <c r="I52" s="7" t="s">
        <v>345</v>
      </c>
      <c r="J52" s="7" t="s">
        <v>346</v>
      </c>
      <c r="K52" s="7" t="s">
        <v>255</v>
      </c>
      <c r="L52" s="7" t="s">
        <v>225</v>
      </c>
      <c r="M52" s="7" t="s">
        <v>347</v>
      </c>
      <c r="N52" s="7" t="s">
        <v>6</v>
      </c>
      <c r="O52" s="7"/>
      <c r="P52" s="7"/>
      <c r="Q52" s="7"/>
      <c r="R52" s="7"/>
      <c r="S52" s="7"/>
    </row>
    <row r="53" customFormat="false" ht="23.85" hidden="false" customHeight="false" outlineLevel="0" collapsed="false">
      <c r="A53" s="7" t="s">
        <v>348</v>
      </c>
      <c r="B53" s="7" t="s">
        <v>19</v>
      </c>
      <c r="C53" s="7" t="s">
        <v>37</v>
      </c>
      <c r="D53" s="7" t="s">
        <v>349</v>
      </c>
      <c r="E53" s="7" t="s">
        <v>42</v>
      </c>
      <c r="F53" s="7" t="s">
        <v>15</v>
      </c>
      <c r="G53" s="7" t="s">
        <v>350</v>
      </c>
      <c r="H53" s="7"/>
      <c r="I53" s="7" t="s">
        <v>351</v>
      </c>
      <c r="J53" s="7" t="s">
        <v>352</v>
      </c>
      <c r="K53" s="7" t="s">
        <v>255</v>
      </c>
      <c r="L53" s="7" t="s">
        <v>225</v>
      </c>
      <c r="M53" s="7" t="s">
        <v>347</v>
      </c>
      <c r="N53" s="7" t="s">
        <v>6</v>
      </c>
      <c r="O53" s="7"/>
      <c r="P53" s="7"/>
      <c r="Q53" s="7"/>
      <c r="R53" s="7"/>
      <c r="S53" s="7"/>
    </row>
    <row r="54" customFormat="false" ht="23.85" hidden="false" customHeight="false" outlineLevel="0" collapsed="false">
      <c r="A54" s="7" t="s">
        <v>353</v>
      </c>
      <c r="B54" s="7" t="s">
        <v>19</v>
      </c>
      <c r="C54" s="7" t="s">
        <v>37</v>
      </c>
      <c r="D54" s="7" t="s">
        <v>354</v>
      </c>
      <c r="E54" s="7" t="s">
        <v>45</v>
      </c>
      <c r="F54" s="7" t="s">
        <v>14</v>
      </c>
      <c r="G54" s="7" t="s">
        <v>355</v>
      </c>
      <c r="H54" s="7"/>
      <c r="I54" s="7" t="s">
        <v>356</v>
      </c>
      <c r="J54" s="7" t="s">
        <v>357</v>
      </c>
      <c r="K54" s="7" t="s">
        <v>255</v>
      </c>
      <c r="L54" s="7" t="s">
        <v>225</v>
      </c>
      <c r="M54" s="7" t="s">
        <v>347</v>
      </c>
      <c r="N54" s="7" t="s">
        <v>6</v>
      </c>
      <c r="O54" s="7"/>
      <c r="P54" s="7"/>
      <c r="Q54" s="7"/>
      <c r="R54" s="7"/>
      <c r="S54" s="7"/>
    </row>
    <row r="55" customFormat="false" ht="23.85" hidden="false" customHeight="false" outlineLevel="0" collapsed="false">
      <c r="A55" s="7" t="s">
        <v>358</v>
      </c>
      <c r="B55" s="7" t="s">
        <v>19</v>
      </c>
      <c r="C55" s="7" t="s">
        <v>37</v>
      </c>
      <c r="D55" s="7" t="s">
        <v>359</v>
      </c>
      <c r="E55" s="7" t="s">
        <v>43</v>
      </c>
      <c r="F55" s="7" t="s">
        <v>16</v>
      </c>
      <c r="G55" s="7"/>
      <c r="H55" s="7" t="s">
        <v>360</v>
      </c>
      <c r="I55" s="7" t="s">
        <v>361</v>
      </c>
      <c r="J55" s="7" t="s">
        <v>362</v>
      </c>
      <c r="K55" s="7" t="s">
        <v>255</v>
      </c>
      <c r="L55" s="7" t="s">
        <v>225</v>
      </c>
      <c r="M55" s="7" t="s">
        <v>347</v>
      </c>
      <c r="N55" s="7" t="s">
        <v>6</v>
      </c>
      <c r="O55" s="7"/>
      <c r="P55" s="7"/>
      <c r="Q55" s="7"/>
      <c r="R55" s="7"/>
      <c r="S55" s="7"/>
    </row>
    <row r="56" customFormat="false" ht="23.85" hidden="false" customHeight="false" outlineLevel="0" collapsed="false">
      <c r="A56" s="7" t="s">
        <v>363</v>
      </c>
      <c r="B56" s="7" t="s">
        <v>19</v>
      </c>
      <c r="C56" s="7" t="s">
        <v>37</v>
      </c>
      <c r="D56" s="7" t="s">
        <v>364</v>
      </c>
      <c r="E56" s="7" t="s">
        <v>42</v>
      </c>
      <c r="F56" s="7" t="s">
        <v>15</v>
      </c>
      <c r="G56" s="7" t="s">
        <v>365</v>
      </c>
      <c r="H56" s="7" t="s">
        <v>366</v>
      </c>
      <c r="I56" s="7" t="s">
        <v>367</v>
      </c>
      <c r="J56" s="7" t="s">
        <v>368</v>
      </c>
      <c r="K56" s="7" t="s">
        <v>255</v>
      </c>
      <c r="L56" s="7" t="s">
        <v>225</v>
      </c>
      <c r="M56" s="7" t="s">
        <v>347</v>
      </c>
      <c r="N56" s="7" t="s">
        <v>6</v>
      </c>
      <c r="O56" s="7"/>
      <c r="P56" s="7"/>
      <c r="Q56" s="7"/>
      <c r="R56" s="7"/>
      <c r="S56" s="7"/>
    </row>
    <row r="57" customFormat="false" ht="23.85" hidden="false" customHeight="false" outlineLevel="0" collapsed="false">
      <c r="A57" s="7" t="s">
        <v>369</v>
      </c>
      <c r="B57" s="7" t="s">
        <v>19</v>
      </c>
      <c r="C57" s="7" t="s">
        <v>37</v>
      </c>
      <c r="D57" s="7" t="s">
        <v>370</v>
      </c>
      <c r="E57" s="7" t="s">
        <v>42</v>
      </c>
      <c r="F57" s="7" t="s">
        <v>16</v>
      </c>
      <c r="G57" s="7" t="s">
        <v>328</v>
      </c>
      <c r="H57" s="7" t="s">
        <v>371</v>
      </c>
      <c r="I57" s="7" t="s">
        <v>372</v>
      </c>
      <c r="J57" s="7" t="s">
        <v>373</v>
      </c>
      <c r="K57" s="7" t="s">
        <v>255</v>
      </c>
      <c r="L57" s="7" t="s">
        <v>225</v>
      </c>
      <c r="M57" s="7" t="s">
        <v>347</v>
      </c>
      <c r="N57" s="7" t="s">
        <v>6</v>
      </c>
      <c r="O57" s="7"/>
      <c r="P57" s="7"/>
      <c r="Q57" s="7"/>
      <c r="R57" s="7"/>
      <c r="S57" s="7"/>
    </row>
    <row r="58" customFormat="false" ht="23.85" hidden="false" customHeight="false" outlineLevel="0" collapsed="false">
      <c r="A58" s="7" t="s">
        <v>374</v>
      </c>
      <c r="B58" s="7" t="s">
        <v>20</v>
      </c>
      <c r="C58" s="7" t="s">
        <v>36</v>
      </c>
      <c r="D58" s="7" t="s">
        <v>375</v>
      </c>
      <c r="E58" s="7" t="s">
        <v>42</v>
      </c>
      <c r="F58" s="7" t="s">
        <v>14</v>
      </c>
      <c r="G58" s="7" t="s">
        <v>376</v>
      </c>
      <c r="H58" s="7" t="s">
        <v>377</v>
      </c>
      <c r="I58" s="7" t="s">
        <v>378</v>
      </c>
      <c r="J58" s="7" t="s">
        <v>379</v>
      </c>
      <c r="K58" s="7" t="s">
        <v>380</v>
      </c>
      <c r="L58" s="7"/>
      <c r="M58" s="7" t="s">
        <v>381</v>
      </c>
      <c r="N58" s="7" t="s">
        <v>6</v>
      </c>
      <c r="O58" s="7"/>
      <c r="P58" s="7"/>
      <c r="Q58" s="7"/>
      <c r="R58" s="7"/>
      <c r="S58" s="7"/>
    </row>
    <row r="59" customFormat="false" ht="23.85" hidden="false" customHeight="false" outlineLevel="0" collapsed="false">
      <c r="A59" s="7" t="s">
        <v>382</v>
      </c>
      <c r="B59" s="7" t="s">
        <v>20</v>
      </c>
      <c r="C59" s="7" t="s">
        <v>36</v>
      </c>
      <c r="D59" s="7" t="s">
        <v>383</v>
      </c>
      <c r="E59" s="7" t="s">
        <v>43</v>
      </c>
      <c r="F59" s="7" t="s">
        <v>15</v>
      </c>
      <c r="G59" s="7" t="s">
        <v>384</v>
      </c>
      <c r="H59" s="7"/>
      <c r="I59" s="7" t="s">
        <v>385</v>
      </c>
      <c r="J59" s="7" t="s">
        <v>386</v>
      </c>
      <c r="K59" s="7" t="s">
        <v>380</v>
      </c>
      <c r="L59" s="7"/>
      <c r="M59" s="7" t="s">
        <v>381</v>
      </c>
      <c r="N59" s="7" t="s">
        <v>6</v>
      </c>
      <c r="O59" s="7"/>
      <c r="P59" s="7"/>
      <c r="Q59" s="7"/>
      <c r="R59" s="7"/>
      <c r="S59" s="7"/>
    </row>
    <row r="60" customFormat="false" ht="35.05" hidden="false" customHeight="false" outlineLevel="0" collapsed="false">
      <c r="A60" s="7" t="s">
        <v>387</v>
      </c>
      <c r="B60" s="7" t="s">
        <v>20</v>
      </c>
      <c r="C60" s="7" t="s">
        <v>36</v>
      </c>
      <c r="D60" s="7" t="s">
        <v>388</v>
      </c>
      <c r="E60" s="7" t="s">
        <v>43</v>
      </c>
      <c r="F60" s="7" t="s">
        <v>15</v>
      </c>
      <c r="G60" s="7" t="s">
        <v>384</v>
      </c>
      <c r="H60" s="7" t="s">
        <v>389</v>
      </c>
      <c r="I60" s="7" t="s">
        <v>390</v>
      </c>
      <c r="J60" s="7" t="s">
        <v>391</v>
      </c>
      <c r="K60" s="7" t="s">
        <v>380</v>
      </c>
      <c r="L60" s="7" t="s">
        <v>392</v>
      </c>
      <c r="M60" s="7" t="s">
        <v>381</v>
      </c>
      <c r="N60" s="7" t="s">
        <v>6</v>
      </c>
      <c r="O60" s="7"/>
      <c r="P60" s="7"/>
      <c r="Q60" s="7"/>
      <c r="R60" s="7"/>
      <c r="S60" s="7"/>
    </row>
    <row r="61" customFormat="false" ht="23.85" hidden="false" customHeight="false" outlineLevel="0" collapsed="false">
      <c r="A61" s="7" t="s">
        <v>393</v>
      </c>
      <c r="B61" s="7" t="s">
        <v>20</v>
      </c>
      <c r="C61" s="7" t="s">
        <v>36</v>
      </c>
      <c r="D61" s="7" t="s">
        <v>394</v>
      </c>
      <c r="E61" s="7" t="s">
        <v>44</v>
      </c>
      <c r="F61" s="7" t="s">
        <v>14</v>
      </c>
      <c r="G61" s="7"/>
      <c r="H61" s="7" t="s">
        <v>395</v>
      </c>
      <c r="I61" s="7" t="s">
        <v>396</v>
      </c>
      <c r="J61" s="7" t="s">
        <v>397</v>
      </c>
      <c r="K61" s="7" t="s">
        <v>380</v>
      </c>
      <c r="L61" s="7"/>
      <c r="M61" s="7" t="s">
        <v>381</v>
      </c>
      <c r="N61" s="7" t="s">
        <v>6</v>
      </c>
      <c r="O61" s="7"/>
      <c r="P61" s="7"/>
      <c r="Q61" s="7"/>
      <c r="R61" s="7"/>
      <c r="S61" s="7"/>
    </row>
    <row r="62" customFormat="false" ht="23.85" hidden="false" customHeight="false" outlineLevel="0" collapsed="false">
      <c r="A62" s="7" t="s">
        <v>398</v>
      </c>
      <c r="B62" s="7" t="s">
        <v>20</v>
      </c>
      <c r="C62" s="7" t="s">
        <v>36</v>
      </c>
      <c r="D62" s="7" t="s">
        <v>399</v>
      </c>
      <c r="E62" s="7" t="s">
        <v>44</v>
      </c>
      <c r="F62" s="7" t="s">
        <v>14</v>
      </c>
      <c r="G62" s="7"/>
      <c r="H62" s="7" t="s">
        <v>400</v>
      </c>
      <c r="I62" s="7" t="s">
        <v>401</v>
      </c>
      <c r="J62" s="7" t="s">
        <v>402</v>
      </c>
      <c r="K62" s="7" t="s">
        <v>380</v>
      </c>
      <c r="L62" s="7"/>
      <c r="M62" s="7" t="s">
        <v>381</v>
      </c>
      <c r="N62" s="7" t="s">
        <v>6</v>
      </c>
      <c r="O62" s="7"/>
      <c r="P62" s="7"/>
      <c r="Q62" s="7"/>
      <c r="R62" s="7"/>
      <c r="S62" s="7"/>
    </row>
    <row r="63" customFormat="false" ht="23.85" hidden="false" customHeight="false" outlineLevel="0" collapsed="false">
      <c r="A63" s="7" t="s">
        <v>403</v>
      </c>
      <c r="B63" s="7" t="s">
        <v>20</v>
      </c>
      <c r="C63" s="7" t="s">
        <v>36</v>
      </c>
      <c r="D63" s="7" t="s">
        <v>404</v>
      </c>
      <c r="E63" s="7" t="s">
        <v>43</v>
      </c>
      <c r="F63" s="7" t="s">
        <v>14</v>
      </c>
      <c r="G63" s="7"/>
      <c r="H63" s="7" t="s">
        <v>405</v>
      </c>
      <c r="I63" s="7" t="s">
        <v>401</v>
      </c>
      <c r="J63" s="7" t="s">
        <v>406</v>
      </c>
      <c r="K63" s="7" t="s">
        <v>380</v>
      </c>
      <c r="L63" s="7"/>
      <c r="M63" s="7" t="s">
        <v>381</v>
      </c>
      <c r="N63" s="7" t="s">
        <v>6</v>
      </c>
      <c r="O63" s="7"/>
      <c r="P63" s="7"/>
      <c r="Q63" s="7"/>
      <c r="R63" s="7"/>
      <c r="S63" s="7"/>
    </row>
    <row r="64" customFormat="false" ht="23.85" hidden="false" customHeight="false" outlineLevel="0" collapsed="false">
      <c r="A64" s="7" t="s">
        <v>407</v>
      </c>
      <c r="B64" s="7" t="s">
        <v>20</v>
      </c>
      <c r="C64" s="7" t="s">
        <v>36</v>
      </c>
      <c r="D64" s="7" t="s">
        <v>408</v>
      </c>
      <c r="E64" s="7" t="s">
        <v>44</v>
      </c>
      <c r="F64" s="7" t="s">
        <v>14</v>
      </c>
      <c r="G64" s="7"/>
      <c r="H64" s="7" t="s">
        <v>409</v>
      </c>
      <c r="I64" s="7" t="s">
        <v>401</v>
      </c>
      <c r="J64" s="7" t="s">
        <v>410</v>
      </c>
      <c r="K64" s="7" t="s">
        <v>380</v>
      </c>
      <c r="L64" s="7" t="s">
        <v>411</v>
      </c>
      <c r="M64" s="7" t="s">
        <v>381</v>
      </c>
      <c r="N64" s="7" t="s">
        <v>6</v>
      </c>
      <c r="O64" s="7"/>
      <c r="P64" s="7"/>
      <c r="Q64" s="7"/>
      <c r="R64" s="7"/>
      <c r="S64" s="7"/>
    </row>
    <row r="65" customFormat="false" ht="23.85" hidden="false" customHeight="false" outlineLevel="0" collapsed="false">
      <c r="A65" s="7" t="s">
        <v>412</v>
      </c>
      <c r="B65" s="7" t="s">
        <v>20</v>
      </c>
      <c r="C65" s="7" t="s">
        <v>36</v>
      </c>
      <c r="D65" s="7" t="s">
        <v>413</v>
      </c>
      <c r="E65" s="7" t="s">
        <v>44</v>
      </c>
      <c r="F65" s="7" t="s">
        <v>14</v>
      </c>
      <c r="G65" s="7"/>
      <c r="H65" s="7" t="s">
        <v>414</v>
      </c>
      <c r="I65" s="7" t="s">
        <v>401</v>
      </c>
      <c r="J65" s="7" t="s">
        <v>415</v>
      </c>
      <c r="K65" s="7" t="s">
        <v>380</v>
      </c>
      <c r="L65" s="7"/>
      <c r="M65" s="7" t="s">
        <v>381</v>
      </c>
      <c r="N65" s="7" t="s">
        <v>6</v>
      </c>
      <c r="O65" s="7"/>
      <c r="P65" s="7"/>
      <c r="Q65" s="7"/>
      <c r="R65" s="7"/>
      <c r="S65" s="7"/>
    </row>
    <row r="66" customFormat="false" ht="23.85" hidden="false" customHeight="false" outlineLevel="0" collapsed="false">
      <c r="A66" s="7" t="s">
        <v>416</v>
      </c>
      <c r="B66" s="7" t="s">
        <v>20</v>
      </c>
      <c r="C66" s="7" t="s">
        <v>36</v>
      </c>
      <c r="D66" s="7" t="s">
        <v>417</v>
      </c>
      <c r="E66" s="7" t="s">
        <v>43</v>
      </c>
      <c r="F66" s="7" t="s">
        <v>14</v>
      </c>
      <c r="G66" s="7"/>
      <c r="H66" s="7" t="s">
        <v>418</v>
      </c>
      <c r="I66" s="7" t="s">
        <v>419</v>
      </c>
      <c r="J66" s="7" t="s">
        <v>420</v>
      </c>
      <c r="K66" s="7" t="s">
        <v>380</v>
      </c>
      <c r="L66" s="7"/>
      <c r="M66" s="7" t="s">
        <v>381</v>
      </c>
      <c r="N66" s="7" t="s">
        <v>6</v>
      </c>
      <c r="O66" s="7"/>
      <c r="P66" s="7"/>
      <c r="Q66" s="7"/>
      <c r="R66" s="7"/>
      <c r="S66" s="7"/>
    </row>
    <row r="67" customFormat="false" ht="23.85" hidden="false" customHeight="false" outlineLevel="0" collapsed="false">
      <c r="A67" s="7" t="s">
        <v>421</v>
      </c>
      <c r="B67" s="7" t="s">
        <v>20</v>
      </c>
      <c r="C67" s="7" t="s">
        <v>36</v>
      </c>
      <c r="D67" s="7" t="s">
        <v>422</v>
      </c>
      <c r="E67" s="7" t="s">
        <v>43</v>
      </c>
      <c r="F67" s="7" t="s">
        <v>15</v>
      </c>
      <c r="G67" s="7"/>
      <c r="H67" s="7" t="s">
        <v>423</v>
      </c>
      <c r="I67" s="7" t="s">
        <v>424</v>
      </c>
      <c r="J67" s="7" t="s">
        <v>425</v>
      </c>
      <c r="K67" s="7" t="s">
        <v>380</v>
      </c>
      <c r="L67" s="7"/>
      <c r="M67" s="7" t="s">
        <v>381</v>
      </c>
      <c r="N67" s="7" t="s">
        <v>6</v>
      </c>
      <c r="O67" s="7"/>
      <c r="P67" s="7"/>
      <c r="Q67" s="7"/>
      <c r="R67" s="7"/>
      <c r="S67" s="7"/>
    </row>
    <row r="68" customFormat="false" ht="23.85" hidden="false" customHeight="false" outlineLevel="0" collapsed="false">
      <c r="A68" s="7" t="s">
        <v>426</v>
      </c>
      <c r="B68" s="7" t="s">
        <v>20</v>
      </c>
      <c r="C68" s="7" t="s">
        <v>36</v>
      </c>
      <c r="D68" s="7" t="s">
        <v>427</v>
      </c>
      <c r="E68" s="7" t="s">
        <v>43</v>
      </c>
      <c r="F68" s="7" t="s">
        <v>16</v>
      </c>
      <c r="G68" s="7"/>
      <c r="H68" s="7" t="s">
        <v>428</v>
      </c>
      <c r="I68" s="7" t="s">
        <v>429</v>
      </c>
      <c r="J68" s="7" t="s">
        <v>430</v>
      </c>
      <c r="K68" s="7" t="s">
        <v>380</v>
      </c>
      <c r="L68" s="7"/>
      <c r="M68" s="7" t="s">
        <v>381</v>
      </c>
      <c r="N68" s="7" t="s">
        <v>6</v>
      </c>
      <c r="O68" s="7"/>
      <c r="P68" s="7"/>
      <c r="Q68" s="7"/>
      <c r="R68" s="7"/>
      <c r="S68" s="7"/>
    </row>
    <row r="69" customFormat="false" ht="23.85" hidden="false" customHeight="false" outlineLevel="0" collapsed="false">
      <c r="A69" s="7" t="s">
        <v>431</v>
      </c>
      <c r="B69" s="7" t="s">
        <v>20</v>
      </c>
      <c r="C69" s="7" t="s">
        <v>36</v>
      </c>
      <c r="D69" s="7" t="s">
        <v>432</v>
      </c>
      <c r="E69" s="7" t="s">
        <v>44</v>
      </c>
      <c r="F69" s="7" t="s">
        <v>17</v>
      </c>
      <c r="G69" s="7"/>
      <c r="H69" s="7" t="s">
        <v>433</v>
      </c>
      <c r="I69" s="7" t="s">
        <v>434</v>
      </c>
      <c r="J69" s="7" t="s">
        <v>435</v>
      </c>
      <c r="K69" s="7" t="s">
        <v>380</v>
      </c>
      <c r="L69" s="7"/>
      <c r="M69" s="7" t="s">
        <v>381</v>
      </c>
      <c r="N69" s="7" t="s">
        <v>6</v>
      </c>
      <c r="O69" s="7"/>
      <c r="P69" s="7"/>
      <c r="Q69" s="7"/>
      <c r="R69" s="7"/>
      <c r="S69" s="7"/>
    </row>
    <row r="70" customFormat="false" ht="35.05" hidden="false" customHeight="false" outlineLevel="0" collapsed="false">
      <c r="A70" s="7" t="s">
        <v>436</v>
      </c>
      <c r="B70" s="7" t="s">
        <v>20</v>
      </c>
      <c r="C70" s="7" t="s">
        <v>36</v>
      </c>
      <c r="D70" s="7" t="s">
        <v>437</v>
      </c>
      <c r="E70" s="7" t="s">
        <v>46</v>
      </c>
      <c r="F70" s="7" t="s">
        <v>15</v>
      </c>
      <c r="G70" s="7" t="s">
        <v>438</v>
      </c>
      <c r="H70" s="7" t="s">
        <v>439</v>
      </c>
      <c r="I70" s="7" t="s">
        <v>440</v>
      </c>
      <c r="J70" s="7" t="s">
        <v>441</v>
      </c>
      <c r="K70" s="7" t="s">
        <v>442</v>
      </c>
      <c r="L70" s="7"/>
      <c r="M70" s="7" t="s">
        <v>381</v>
      </c>
      <c r="N70" s="7" t="s">
        <v>6</v>
      </c>
      <c r="O70" s="7"/>
      <c r="P70" s="7"/>
      <c r="Q70" s="7"/>
      <c r="R70" s="7"/>
      <c r="S70" s="7"/>
    </row>
    <row r="71" customFormat="false" ht="23.85" hidden="false" customHeight="false" outlineLevel="0" collapsed="false">
      <c r="A71" s="7" t="s">
        <v>443</v>
      </c>
      <c r="B71" s="7" t="s">
        <v>20</v>
      </c>
      <c r="C71" s="7" t="s">
        <v>36</v>
      </c>
      <c r="D71" s="7" t="s">
        <v>444</v>
      </c>
      <c r="E71" s="7" t="s">
        <v>43</v>
      </c>
      <c r="F71" s="7" t="s">
        <v>16</v>
      </c>
      <c r="G71" s="7"/>
      <c r="H71" s="7" t="s">
        <v>445</v>
      </c>
      <c r="I71" s="7" t="s">
        <v>446</v>
      </c>
      <c r="J71" s="7" t="s">
        <v>447</v>
      </c>
      <c r="K71" s="7" t="s">
        <v>380</v>
      </c>
      <c r="L71" s="7" t="s">
        <v>448</v>
      </c>
      <c r="M71" s="7" t="s">
        <v>381</v>
      </c>
      <c r="N71" s="7" t="s">
        <v>6</v>
      </c>
      <c r="O71" s="7"/>
      <c r="P71" s="7"/>
      <c r="Q71" s="7"/>
      <c r="R71" s="7"/>
      <c r="S71" s="7"/>
    </row>
    <row r="72" customFormat="false" ht="35.05" hidden="false" customHeight="false" outlineLevel="0" collapsed="false">
      <c r="A72" s="7" t="s">
        <v>449</v>
      </c>
      <c r="B72" s="7" t="s">
        <v>20</v>
      </c>
      <c r="C72" s="7" t="s">
        <v>36</v>
      </c>
      <c r="D72" s="7" t="s">
        <v>450</v>
      </c>
      <c r="E72" s="7" t="s">
        <v>45</v>
      </c>
      <c r="F72" s="7" t="s">
        <v>15</v>
      </c>
      <c r="G72" s="7"/>
      <c r="H72" s="7" t="s">
        <v>451</v>
      </c>
      <c r="I72" s="7" t="s">
        <v>452</v>
      </c>
      <c r="J72" s="7" t="s">
        <v>453</v>
      </c>
      <c r="K72" s="7" t="s">
        <v>380</v>
      </c>
      <c r="L72" s="7"/>
      <c r="M72" s="7" t="s">
        <v>381</v>
      </c>
      <c r="N72" s="7" t="s">
        <v>6</v>
      </c>
      <c r="O72" s="7"/>
      <c r="P72" s="7"/>
      <c r="Q72" s="7"/>
      <c r="R72" s="7"/>
      <c r="S72" s="7"/>
    </row>
    <row r="73" customFormat="false" ht="23.85" hidden="false" customHeight="false" outlineLevel="0" collapsed="false">
      <c r="A73" s="7" t="s">
        <v>454</v>
      </c>
      <c r="B73" s="7" t="s">
        <v>20</v>
      </c>
      <c r="C73" s="7" t="s">
        <v>36</v>
      </c>
      <c r="D73" s="7" t="s">
        <v>455</v>
      </c>
      <c r="E73" s="7" t="s">
        <v>46</v>
      </c>
      <c r="F73" s="7" t="s">
        <v>15</v>
      </c>
      <c r="G73" s="7" t="s">
        <v>456</v>
      </c>
      <c r="H73" s="7"/>
      <c r="I73" s="7" t="s">
        <v>457</v>
      </c>
      <c r="J73" s="7" t="s">
        <v>458</v>
      </c>
      <c r="K73" s="7" t="s">
        <v>459</v>
      </c>
      <c r="L73" s="7"/>
      <c r="M73" s="7" t="s">
        <v>381</v>
      </c>
      <c r="N73" s="7" t="s">
        <v>6</v>
      </c>
      <c r="O73" s="7"/>
      <c r="P73" s="7"/>
      <c r="Q73" s="7"/>
      <c r="R73" s="7"/>
      <c r="S73" s="7"/>
    </row>
    <row r="74" customFormat="false" ht="23.85" hidden="false" customHeight="false" outlineLevel="0" collapsed="false">
      <c r="A74" s="7" t="s">
        <v>460</v>
      </c>
      <c r="B74" s="7" t="s">
        <v>20</v>
      </c>
      <c r="C74" s="7" t="s">
        <v>36</v>
      </c>
      <c r="D74" s="7" t="s">
        <v>461</v>
      </c>
      <c r="E74" s="7" t="s">
        <v>42</v>
      </c>
      <c r="F74" s="7" t="s">
        <v>16</v>
      </c>
      <c r="G74" s="7" t="s">
        <v>462</v>
      </c>
      <c r="H74" s="7" t="s">
        <v>463</v>
      </c>
      <c r="I74" s="7" t="s">
        <v>464</v>
      </c>
      <c r="J74" s="7" t="s">
        <v>465</v>
      </c>
      <c r="K74" s="7" t="s">
        <v>380</v>
      </c>
      <c r="L74" s="7" t="s">
        <v>466</v>
      </c>
      <c r="M74" s="7" t="s">
        <v>381</v>
      </c>
      <c r="N74" s="7" t="s">
        <v>6</v>
      </c>
      <c r="O74" s="7"/>
      <c r="P74" s="7"/>
      <c r="Q74" s="7"/>
      <c r="R74" s="7"/>
      <c r="S74" s="7"/>
    </row>
    <row r="75" customFormat="false" ht="23.85" hidden="false" customHeight="false" outlineLevel="0" collapsed="false">
      <c r="A75" s="7" t="s">
        <v>467</v>
      </c>
      <c r="B75" s="7" t="s">
        <v>20</v>
      </c>
      <c r="C75" s="7" t="s">
        <v>37</v>
      </c>
      <c r="D75" s="7" t="s">
        <v>468</v>
      </c>
      <c r="E75" s="7" t="s">
        <v>42</v>
      </c>
      <c r="F75" s="7" t="s">
        <v>15</v>
      </c>
      <c r="G75" s="7" t="s">
        <v>469</v>
      </c>
      <c r="H75" s="7" t="s">
        <v>470</v>
      </c>
      <c r="I75" s="7" t="s">
        <v>471</v>
      </c>
      <c r="J75" s="7" t="s">
        <v>472</v>
      </c>
      <c r="K75" s="7" t="s">
        <v>380</v>
      </c>
      <c r="L75" s="7" t="s">
        <v>473</v>
      </c>
      <c r="M75" s="7" t="s">
        <v>474</v>
      </c>
      <c r="N75" s="7" t="s">
        <v>6</v>
      </c>
      <c r="O75" s="7"/>
      <c r="P75" s="7"/>
      <c r="Q75" s="7"/>
      <c r="R75" s="7"/>
      <c r="S75" s="7"/>
    </row>
    <row r="76" customFormat="false" ht="23.85" hidden="false" customHeight="false" outlineLevel="0" collapsed="false">
      <c r="A76" s="7" t="s">
        <v>475</v>
      </c>
      <c r="B76" s="7" t="s">
        <v>20</v>
      </c>
      <c r="C76" s="7" t="s">
        <v>37</v>
      </c>
      <c r="D76" s="7" t="s">
        <v>476</v>
      </c>
      <c r="E76" s="7" t="s">
        <v>43</v>
      </c>
      <c r="F76" s="7" t="s">
        <v>14</v>
      </c>
      <c r="G76" s="7" t="s">
        <v>477</v>
      </c>
      <c r="H76" s="7" t="s">
        <v>478</v>
      </c>
      <c r="I76" s="7" t="s">
        <v>479</v>
      </c>
      <c r="J76" s="7" t="s">
        <v>480</v>
      </c>
      <c r="K76" s="7" t="s">
        <v>380</v>
      </c>
      <c r="L76" s="7" t="s">
        <v>473</v>
      </c>
      <c r="M76" s="7" t="s">
        <v>474</v>
      </c>
      <c r="N76" s="7" t="s">
        <v>6</v>
      </c>
      <c r="O76" s="7"/>
      <c r="P76" s="7"/>
      <c r="Q76" s="7"/>
      <c r="R76" s="7"/>
      <c r="S76" s="7"/>
    </row>
    <row r="77" customFormat="false" ht="23.85" hidden="false" customHeight="false" outlineLevel="0" collapsed="false">
      <c r="A77" s="7" t="s">
        <v>481</v>
      </c>
      <c r="B77" s="7" t="s">
        <v>20</v>
      </c>
      <c r="C77" s="7" t="s">
        <v>37</v>
      </c>
      <c r="D77" s="7" t="s">
        <v>482</v>
      </c>
      <c r="E77" s="7" t="s">
        <v>43</v>
      </c>
      <c r="F77" s="7" t="s">
        <v>14</v>
      </c>
      <c r="G77" s="7"/>
      <c r="H77" s="7" t="s">
        <v>483</v>
      </c>
      <c r="I77" s="7" t="s">
        <v>484</v>
      </c>
      <c r="J77" s="7" t="s">
        <v>485</v>
      </c>
      <c r="K77" s="7" t="s">
        <v>380</v>
      </c>
      <c r="L77" s="7"/>
      <c r="M77" s="7" t="s">
        <v>474</v>
      </c>
      <c r="N77" s="7" t="s">
        <v>6</v>
      </c>
      <c r="O77" s="7"/>
      <c r="P77" s="7"/>
      <c r="Q77" s="7"/>
      <c r="R77" s="7"/>
      <c r="S77" s="7"/>
    </row>
    <row r="78" customFormat="false" ht="23.85" hidden="false" customHeight="false" outlineLevel="0" collapsed="false">
      <c r="A78" s="7" t="s">
        <v>486</v>
      </c>
      <c r="B78" s="7" t="s">
        <v>20</v>
      </c>
      <c r="C78" s="7" t="s">
        <v>37</v>
      </c>
      <c r="D78" s="7" t="s">
        <v>487</v>
      </c>
      <c r="E78" s="7" t="s">
        <v>43</v>
      </c>
      <c r="F78" s="7" t="s">
        <v>14</v>
      </c>
      <c r="G78" s="7"/>
      <c r="H78" s="7" t="s">
        <v>488</v>
      </c>
      <c r="I78" s="7" t="s">
        <v>484</v>
      </c>
      <c r="J78" s="7" t="s">
        <v>485</v>
      </c>
      <c r="K78" s="7" t="s">
        <v>380</v>
      </c>
      <c r="L78" s="7"/>
      <c r="M78" s="7" t="s">
        <v>474</v>
      </c>
      <c r="N78" s="7" t="s">
        <v>6</v>
      </c>
      <c r="O78" s="7"/>
      <c r="P78" s="7"/>
      <c r="Q78" s="7"/>
      <c r="R78" s="7"/>
      <c r="S78" s="7"/>
    </row>
    <row r="79" customFormat="false" ht="23.85" hidden="false" customHeight="false" outlineLevel="0" collapsed="false">
      <c r="A79" s="7" t="s">
        <v>489</v>
      </c>
      <c r="B79" s="7" t="s">
        <v>20</v>
      </c>
      <c r="C79" s="7" t="s">
        <v>37</v>
      </c>
      <c r="D79" s="7" t="s">
        <v>490</v>
      </c>
      <c r="E79" s="7" t="s">
        <v>44</v>
      </c>
      <c r="F79" s="7" t="s">
        <v>14</v>
      </c>
      <c r="G79" s="7"/>
      <c r="H79" s="7" t="s">
        <v>491</v>
      </c>
      <c r="I79" s="7" t="s">
        <v>492</v>
      </c>
      <c r="J79" s="7" t="s">
        <v>493</v>
      </c>
      <c r="K79" s="7" t="s">
        <v>380</v>
      </c>
      <c r="L79" s="7"/>
      <c r="M79" s="7" t="s">
        <v>474</v>
      </c>
      <c r="N79" s="7" t="s">
        <v>6</v>
      </c>
      <c r="O79" s="7"/>
      <c r="P79" s="7"/>
      <c r="Q79" s="7"/>
      <c r="R79" s="7"/>
      <c r="S79" s="7"/>
    </row>
    <row r="80" customFormat="false" ht="23.85" hidden="false" customHeight="false" outlineLevel="0" collapsed="false">
      <c r="A80" s="7" t="s">
        <v>494</v>
      </c>
      <c r="B80" s="7" t="s">
        <v>20</v>
      </c>
      <c r="C80" s="7" t="s">
        <v>37</v>
      </c>
      <c r="D80" s="7" t="s">
        <v>495</v>
      </c>
      <c r="E80" s="7" t="s">
        <v>43</v>
      </c>
      <c r="F80" s="7" t="s">
        <v>15</v>
      </c>
      <c r="G80" s="7"/>
      <c r="H80" s="7" t="s">
        <v>496</v>
      </c>
      <c r="I80" s="7" t="s">
        <v>497</v>
      </c>
      <c r="J80" s="7" t="s">
        <v>498</v>
      </c>
      <c r="K80" s="7" t="s">
        <v>380</v>
      </c>
      <c r="L80" s="7"/>
      <c r="M80" s="7" t="s">
        <v>474</v>
      </c>
      <c r="N80" s="7" t="s">
        <v>6</v>
      </c>
      <c r="O80" s="7"/>
      <c r="P80" s="7"/>
      <c r="Q80" s="7"/>
      <c r="R80" s="7"/>
      <c r="S80" s="7"/>
    </row>
    <row r="81" customFormat="false" ht="23.85" hidden="false" customHeight="false" outlineLevel="0" collapsed="false">
      <c r="A81" s="7" t="s">
        <v>499</v>
      </c>
      <c r="B81" s="7" t="s">
        <v>20</v>
      </c>
      <c r="C81" s="7" t="s">
        <v>37</v>
      </c>
      <c r="D81" s="7" t="s">
        <v>500</v>
      </c>
      <c r="E81" s="7" t="s">
        <v>45</v>
      </c>
      <c r="F81" s="7" t="s">
        <v>14</v>
      </c>
      <c r="G81" s="7" t="s">
        <v>501</v>
      </c>
      <c r="H81" s="7"/>
      <c r="I81" s="7" t="s">
        <v>502</v>
      </c>
      <c r="J81" s="7" t="s">
        <v>503</v>
      </c>
      <c r="K81" s="7" t="s">
        <v>504</v>
      </c>
      <c r="L81" s="7"/>
      <c r="M81" s="7" t="s">
        <v>474</v>
      </c>
      <c r="N81" s="7" t="s">
        <v>6</v>
      </c>
      <c r="O81" s="7"/>
      <c r="P81" s="7"/>
      <c r="Q81" s="7"/>
      <c r="R81" s="7"/>
      <c r="S81" s="7"/>
    </row>
    <row r="82" customFormat="false" ht="23.85" hidden="false" customHeight="false" outlineLevel="0" collapsed="false">
      <c r="A82" s="7" t="s">
        <v>505</v>
      </c>
      <c r="B82" s="7" t="s">
        <v>20</v>
      </c>
      <c r="C82" s="7" t="s">
        <v>37</v>
      </c>
      <c r="D82" s="7" t="s">
        <v>506</v>
      </c>
      <c r="E82" s="7" t="s">
        <v>43</v>
      </c>
      <c r="F82" s="7" t="s">
        <v>14</v>
      </c>
      <c r="G82" s="7" t="s">
        <v>507</v>
      </c>
      <c r="H82" s="7"/>
      <c r="I82" s="7" t="s">
        <v>508</v>
      </c>
      <c r="J82" s="7" t="s">
        <v>509</v>
      </c>
      <c r="K82" s="7" t="s">
        <v>510</v>
      </c>
      <c r="L82" s="7"/>
      <c r="M82" s="7" t="s">
        <v>474</v>
      </c>
      <c r="N82" s="7" t="s">
        <v>6</v>
      </c>
      <c r="O82" s="7"/>
      <c r="P82" s="7"/>
      <c r="Q82" s="7"/>
      <c r="R82" s="7"/>
      <c r="S82" s="7"/>
    </row>
    <row r="83" customFormat="false" ht="23.85" hidden="false" customHeight="false" outlineLevel="0" collapsed="false">
      <c r="A83" s="7" t="s">
        <v>511</v>
      </c>
      <c r="B83" s="7" t="s">
        <v>21</v>
      </c>
      <c r="C83" s="7" t="s">
        <v>36</v>
      </c>
      <c r="D83" s="7" t="s">
        <v>512</v>
      </c>
      <c r="E83" s="7" t="s">
        <v>42</v>
      </c>
      <c r="F83" s="7" t="s">
        <v>15</v>
      </c>
      <c r="G83" s="7" t="s">
        <v>513</v>
      </c>
      <c r="H83" s="7" t="s">
        <v>514</v>
      </c>
      <c r="I83" s="7" t="s">
        <v>515</v>
      </c>
      <c r="J83" s="7" t="s">
        <v>516</v>
      </c>
      <c r="K83" s="7" t="s">
        <v>517</v>
      </c>
      <c r="L83" s="7"/>
      <c r="M83" s="7" t="s">
        <v>518</v>
      </c>
      <c r="N83" s="7" t="s">
        <v>6</v>
      </c>
      <c r="O83" s="7"/>
      <c r="P83" s="7"/>
      <c r="Q83" s="7"/>
      <c r="R83" s="7"/>
      <c r="S83" s="7"/>
    </row>
    <row r="84" customFormat="false" ht="23.85" hidden="false" customHeight="false" outlineLevel="0" collapsed="false">
      <c r="A84" s="7" t="s">
        <v>519</v>
      </c>
      <c r="B84" s="7" t="s">
        <v>21</v>
      </c>
      <c r="C84" s="7" t="s">
        <v>36</v>
      </c>
      <c r="D84" s="7" t="s">
        <v>520</v>
      </c>
      <c r="E84" s="7" t="s">
        <v>43</v>
      </c>
      <c r="F84" s="7" t="s">
        <v>15</v>
      </c>
      <c r="G84" s="7" t="s">
        <v>521</v>
      </c>
      <c r="H84" s="7"/>
      <c r="I84" s="7" t="s">
        <v>522</v>
      </c>
      <c r="J84" s="7" t="s">
        <v>523</v>
      </c>
      <c r="K84" s="7" t="s">
        <v>517</v>
      </c>
      <c r="L84" s="7"/>
      <c r="M84" s="7" t="s">
        <v>518</v>
      </c>
      <c r="N84" s="7" t="s">
        <v>6</v>
      </c>
      <c r="O84" s="7"/>
      <c r="P84" s="7"/>
      <c r="Q84" s="7"/>
      <c r="R84" s="7"/>
      <c r="S84" s="7"/>
    </row>
    <row r="85" customFormat="false" ht="23.85" hidden="false" customHeight="false" outlineLevel="0" collapsed="false">
      <c r="A85" s="7" t="s">
        <v>524</v>
      </c>
      <c r="B85" s="7" t="s">
        <v>21</v>
      </c>
      <c r="C85" s="7" t="s">
        <v>36</v>
      </c>
      <c r="D85" s="7" t="s">
        <v>525</v>
      </c>
      <c r="E85" s="7" t="s">
        <v>43</v>
      </c>
      <c r="F85" s="7" t="s">
        <v>15</v>
      </c>
      <c r="G85" s="7"/>
      <c r="H85" s="7" t="s">
        <v>526</v>
      </c>
      <c r="I85" s="7" t="s">
        <v>527</v>
      </c>
      <c r="J85" s="7" t="s">
        <v>528</v>
      </c>
      <c r="K85" s="7" t="s">
        <v>517</v>
      </c>
      <c r="L85" s="7"/>
      <c r="M85" s="7" t="s">
        <v>518</v>
      </c>
      <c r="N85" s="7" t="s">
        <v>6</v>
      </c>
      <c r="O85" s="7"/>
      <c r="P85" s="7"/>
      <c r="Q85" s="7"/>
      <c r="R85" s="7"/>
      <c r="S85" s="7"/>
    </row>
    <row r="86" customFormat="false" ht="23.85" hidden="false" customHeight="false" outlineLevel="0" collapsed="false">
      <c r="A86" s="7" t="s">
        <v>529</v>
      </c>
      <c r="B86" s="7" t="s">
        <v>21</v>
      </c>
      <c r="C86" s="7" t="s">
        <v>36</v>
      </c>
      <c r="D86" s="7" t="s">
        <v>530</v>
      </c>
      <c r="E86" s="7" t="s">
        <v>42</v>
      </c>
      <c r="F86" s="7" t="s">
        <v>16</v>
      </c>
      <c r="G86" s="7"/>
      <c r="H86" s="7" t="s">
        <v>531</v>
      </c>
      <c r="I86" s="7" t="s">
        <v>527</v>
      </c>
      <c r="J86" s="7" t="s">
        <v>397</v>
      </c>
      <c r="K86" s="7" t="s">
        <v>517</v>
      </c>
      <c r="L86" s="7"/>
      <c r="M86" s="7" t="s">
        <v>518</v>
      </c>
      <c r="N86" s="7" t="s">
        <v>6</v>
      </c>
      <c r="O86" s="7"/>
      <c r="P86" s="7"/>
      <c r="Q86" s="7"/>
      <c r="R86" s="7"/>
      <c r="S86" s="7"/>
    </row>
    <row r="87" customFormat="false" ht="23.85" hidden="false" customHeight="false" outlineLevel="0" collapsed="false">
      <c r="A87" s="7" t="s">
        <v>532</v>
      </c>
      <c r="B87" s="7" t="s">
        <v>21</v>
      </c>
      <c r="C87" s="7" t="s">
        <v>36</v>
      </c>
      <c r="D87" s="7" t="s">
        <v>533</v>
      </c>
      <c r="E87" s="7" t="s">
        <v>43</v>
      </c>
      <c r="F87" s="7" t="s">
        <v>15</v>
      </c>
      <c r="G87" s="7"/>
      <c r="H87" s="7" t="s">
        <v>534</v>
      </c>
      <c r="I87" s="7" t="s">
        <v>527</v>
      </c>
      <c r="J87" s="7" t="s">
        <v>535</v>
      </c>
      <c r="K87" s="7" t="s">
        <v>517</v>
      </c>
      <c r="L87" s="7" t="s">
        <v>536</v>
      </c>
      <c r="M87" s="7" t="s">
        <v>518</v>
      </c>
      <c r="N87" s="7" t="s">
        <v>6</v>
      </c>
      <c r="O87" s="7"/>
      <c r="P87" s="7"/>
      <c r="Q87" s="7"/>
      <c r="R87" s="7"/>
      <c r="S87" s="7"/>
    </row>
    <row r="88" customFormat="false" ht="23.85" hidden="false" customHeight="false" outlineLevel="0" collapsed="false">
      <c r="A88" s="7" t="s">
        <v>537</v>
      </c>
      <c r="B88" s="7" t="s">
        <v>21</v>
      </c>
      <c r="C88" s="7" t="s">
        <v>36</v>
      </c>
      <c r="D88" s="7" t="s">
        <v>538</v>
      </c>
      <c r="E88" s="7" t="s">
        <v>42</v>
      </c>
      <c r="F88" s="7" t="s">
        <v>16</v>
      </c>
      <c r="G88" s="7"/>
      <c r="H88" s="7" t="s">
        <v>539</v>
      </c>
      <c r="I88" s="7" t="s">
        <v>540</v>
      </c>
      <c r="J88" s="7" t="s">
        <v>541</v>
      </c>
      <c r="K88" s="7" t="s">
        <v>517</v>
      </c>
      <c r="L88" s="7"/>
      <c r="M88" s="7" t="s">
        <v>518</v>
      </c>
      <c r="N88" s="7" t="s">
        <v>6</v>
      </c>
      <c r="O88" s="7"/>
      <c r="P88" s="7"/>
      <c r="Q88" s="7"/>
      <c r="R88" s="7"/>
      <c r="S88" s="7"/>
    </row>
    <row r="89" customFormat="false" ht="23.85" hidden="false" customHeight="false" outlineLevel="0" collapsed="false">
      <c r="A89" s="7" t="s">
        <v>542</v>
      </c>
      <c r="B89" s="7" t="s">
        <v>21</v>
      </c>
      <c r="C89" s="7" t="s">
        <v>36</v>
      </c>
      <c r="D89" s="7" t="s">
        <v>543</v>
      </c>
      <c r="E89" s="7" t="s">
        <v>43</v>
      </c>
      <c r="F89" s="7" t="s">
        <v>15</v>
      </c>
      <c r="G89" s="7"/>
      <c r="H89" s="7" t="s">
        <v>544</v>
      </c>
      <c r="I89" s="7" t="s">
        <v>527</v>
      </c>
      <c r="J89" s="7" t="s">
        <v>545</v>
      </c>
      <c r="K89" s="7" t="s">
        <v>517</v>
      </c>
      <c r="L89" s="7" t="s">
        <v>546</v>
      </c>
      <c r="M89" s="7" t="s">
        <v>518</v>
      </c>
      <c r="N89" s="7" t="s">
        <v>6</v>
      </c>
      <c r="O89" s="7"/>
      <c r="P89" s="7"/>
      <c r="Q89" s="7"/>
      <c r="R89" s="7"/>
      <c r="S89" s="7"/>
    </row>
    <row r="90" customFormat="false" ht="23.85" hidden="false" customHeight="false" outlineLevel="0" collapsed="false">
      <c r="A90" s="7" t="s">
        <v>547</v>
      </c>
      <c r="B90" s="7" t="s">
        <v>21</v>
      </c>
      <c r="C90" s="7" t="s">
        <v>36</v>
      </c>
      <c r="D90" s="7" t="s">
        <v>548</v>
      </c>
      <c r="E90" s="7" t="s">
        <v>42</v>
      </c>
      <c r="F90" s="7" t="s">
        <v>15</v>
      </c>
      <c r="G90" s="7" t="s">
        <v>549</v>
      </c>
      <c r="H90" s="7"/>
      <c r="I90" s="7" t="s">
        <v>550</v>
      </c>
      <c r="J90" s="7" t="s">
        <v>551</v>
      </c>
      <c r="K90" s="7" t="s">
        <v>517</v>
      </c>
      <c r="L90" s="7"/>
      <c r="M90" s="7" t="s">
        <v>518</v>
      </c>
      <c r="N90" s="7" t="s">
        <v>6</v>
      </c>
      <c r="O90" s="7"/>
      <c r="P90" s="7"/>
      <c r="Q90" s="7"/>
      <c r="R90" s="7"/>
      <c r="S90" s="7"/>
    </row>
    <row r="91" customFormat="false" ht="23.85" hidden="false" customHeight="false" outlineLevel="0" collapsed="false">
      <c r="A91" s="7" t="s">
        <v>552</v>
      </c>
      <c r="B91" s="7" t="s">
        <v>21</v>
      </c>
      <c r="C91" s="7" t="s">
        <v>36</v>
      </c>
      <c r="D91" s="7" t="s">
        <v>553</v>
      </c>
      <c r="E91" s="7" t="s">
        <v>46</v>
      </c>
      <c r="F91" s="7" t="s">
        <v>16</v>
      </c>
      <c r="G91" s="7" t="s">
        <v>554</v>
      </c>
      <c r="H91" s="7"/>
      <c r="I91" s="7" t="s">
        <v>555</v>
      </c>
      <c r="J91" s="7" t="s">
        <v>556</v>
      </c>
      <c r="K91" s="7" t="s">
        <v>517</v>
      </c>
      <c r="L91" s="7"/>
      <c r="M91" s="7" t="s">
        <v>518</v>
      </c>
      <c r="N91" s="7" t="s">
        <v>6</v>
      </c>
      <c r="O91" s="7"/>
      <c r="P91" s="7"/>
      <c r="Q91" s="7"/>
      <c r="R91" s="7"/>
      <c r="S91" s="7"/>
    </row>
    <row r="92" customFormat="false" ht="23.85" hidden="false" customHeight="false" outlineLevel="0" collapsed="false">
      <c r="A92" s="7" t="s">
        <v>557</v>
      </c>
      <c r="B92" s="7" t="s">
        <v>21</v>
      </c>
      <c r="C92" s="7" t="s">
        <v>36</v>
      </c>
      <c r="D92" s="7" t="s">
        <v>558</v>
      </c>
      <c r="E92" s="7" t="s">
        <v>46</v>
      </c>
      <c r="F92" s="7" t="s">
        <v>16</v>
      </c>
      <c r="G92" s="7" t="s">
        <v>554</v>
      </c>
      <c r="H92" s="7"/>
      <c r="I92" s="7" t="s">
        <v>559</v>
      </c>
      <c r="J92" s="7" t="s">
        <v>560</v>
      </c>
      <c r="K92" s="7" t="s">
        <v>517</v>
      </c>
      <c r="L92" s="7"/>
      <c r="M92" s="7" t="s">
        <v>518</v>
      </c>
      <c r="N92" s="7" t="s">
        <v>6</v>
      </c>
      <c r="O92" s="7"/>
      <c r="P92" s="7"/>
      <c r="Q92" s="7"/>
      <c r="R92" s="7"/>
      <c r="S92" s="7"/>
    </row>
    <row r="93" customFormat="false" ht="23.85" hidden="false" customHeight="false" outlineLevel="0" collapsed="false">
      <c r="A93" s="7" t="s">
        <v>561</v>
      </c>
      <c r="B93" s="7" t="s">
        <v>21</v>
      </c>
      <c r="C93" s="7" t="s">
        <v>36</v>
      </c>
      <c r="D93" s="7" t="s">
        <v>562</v>
      </c>
      <c r="E93" s="7" t="s">
        <v>44</v>
      </c>
      <c r="F93" s="7" t="s">
        <v>16</v>
      </c>
      <c r="G93" s="7"/>
      <c r="H93" s="7" t="s">
        <v>563</v>
      </c>
      <c r="I93" s="7" t="s">
        <v>564</v>
      </c>
      <c r="J93" s="7" t="s">
        <v>565</v>
      </c>
      <c r="K93" s="7" t="s">
        <v>517</v>
      </c>
      <c r="L93" s="7"/>
      <c r="M93" s="7" t="s">
        <v>518</v>
      </c>
      <c r="N93" s="7" t="s">
        <v>6</v>
      </c>
      <c r="O93" s="7"/>
      <c r="P93" s="7"/>
      <c r="Q93" s="7"/>
      <c r="R93" s="7"/>
      <c r="S93" s="7"/>
    </row>
    <row r="94" customFormat="false" ht="23.85" hidden="false" customHeight="false" outlineLevel="0" collapsed="false">
      <c r="A94" s="7" t="s">
        <v>566</v>
      </c>
      <c r="B94" s="7" t="s">
        <v>21</v>
      </c>
      <c r="C94" s="7" t="s">
        <v>36</v>
      </c>
      <c r="D94" s="7" t="s">
        <v>567</v>
      </c>
      <c r="E94" s="7" t="s">
        <v>46</v>
      </c>
      <c r="F94" s="7" t="s">
        <v>15</v>
      </c>
      <c r="G94" s="7" t="s">
        <v>568</v>
      </c>
      <c r="H94" s="7"/>
      <c r="I94" s="7" t="s">
        <v>569</v>
      </c>
      <c r="J94" s="7" t="s">
        <v>570</v>
      </c>
      <c r="K94" s="7" t="s">
        <v>571</v>
      </c>
      <c r="L94" s="7"/>
      <c r="M94" s="7" t="s">
        <v>518</v>
      </c>
      <c r="N94" s="7" t="s">
        <v>6</v>
      </c>
      <c r="O94" s="7"/>
      <c r="P94" s="7"/>
      <c r="Q94" s="7"/>
      <c r="R94" s="7"/>
      <c r="S94" s="7"/>
    </row>
    <row r="95" customFormat="false" ht="15" hidden="false" customHeight="false" outlineLevel="0" collapsed="false">
      <c r="A95" s="7" t="s">
        <v>572</v>
      </c>
      <c r="B95" s="7" t="s">
        <v>21</v>
      </c>
      <c r="C95" s="7" t="s">
        <v>37</v>
      </c>
      <c r="D95" s="7" t="s">
        <v>573</v>
      </c>
      <c r="E95" s="7" t="s">
        <v>43</v>
      </c>
      <c r="F95" s="7" t="s">
        <v>15</v>
      </c>
      <c r="G95" s="7" t="s">
        <v>477</v>
      </c>
      <c r="H95" s="7" t="s">
        <v>574</v>
      </c>
      <c r="I95" s="7" t="s">
        <v>575</v>
      </c>
      <c r="J95" s="7" t="s">
        <v>576</v>
      </c>
      <c r="K95" s="7" t="s">
        <v>517</v>
      </c>
      <c r="L95" s="7" t="s">
        <v>473</v>
      </c>
      <c r="M95" s="7" t="s">
        <v>577</v>
      </c>
      <c r="N95" s="7" t="s">
        <v>6</v>
      </c>
      <c r="O95" s="7"/>
      <c r="P95" s="7"/>
      <c r="Q95" s="7"/>
      <c r="R95" s="7"/>
      <c r="S95" s="7"/>
    </row>
    <row r="96" customFormat="false" ht="23.85" hidden="false" customHeight="false" outlineLevel="0" collapsed="false">
      <c r="A96" s="7" t="s">
        <v>578</v>
      </c>
      <c r="B96" s="7" t="s">
        <v>21</v>
      </c>
      <c r="C96" s="7" t="s">
        <v>37</v>
      </c>
      <c r="D96" s="7" t="s">
        <v>579</v>
      </c>
      <c r="E96" s="7" t="s">
        <v>42</v>
      </c>
      <c r="F96" s="7" t="s">
        <v>15</v>
      </c>
      <c r="G96" s="7"/>
      <c r="H96" s="7" t="s">
        <v>580</v>
      </c>
      <c r="I96" s="7" t="s">
        <v>581</v>
      </c>
      <c r="J96" s="7" t="s">
        <v>582</v>
      </c>
      <c r="K96" s="7" t="s">
        <v>517</v>
      </c>
      <c r="L96" s="7"/>
      <c r="M96" s="7" t="s">
        <v>577</v>
      </c>
      <c r="N96" s="7" t="s">
        <v>6</v>
      </c>
      <c r="O96" s="7"/>
      <c r="P96" s="7"/>
      <c r="Q96" s="7"/>
      <c r="R96" s="7"/>
      <c r="S96" s="7"/>
    </row>
    <row r="97" customFormat="false" ht="15" hidden="false" customHeight="false" outlineLevel="0" collapsed="false">
      <c r="A97" s="7" t="s">
        <v>583</v>
      </c>
      <c r="B97" s="7" t="s">
        <v>21</v>
      </c>
      <c r="C97" s="7" t="s">
        <v>37</v>
      </c>
      <c r="D97" s="7" t="s">
        <v>584</v>
      </c>
      <c r="E97" s="7" t="s">
        <v>43</v>
      </c>
      <c r="F97" s="7" t="s">
        <v>16</v>
      </c>
      <c r="G97" s="7"/>
      <c r="H97" s="7" t="s">
        <v>585</v>
      </c>
      <c r="I97" s="7" t="s">
        <v>586</v>
      </c>
      <c r="J97" s="7" t="s">
        <v>587</v>
      </c>
      <c r="K97" s="7" t="s">
        <v>517</v>
      </c>
      <c r="L97" s="7"/>
      <c r="M97" s="7" t="s">
        <v>577</v>
      </c>
      <c r="N97" s="7" t="s">
        <v>6</v>
      </c>
      <c r="O97" s="7"/>
      <c r="P97" s="7"/>
      <c r="Q97" s="7"/>
      <c r="R97" s="7"/>
      <c r="S97" s="7"/>
    </row>
    <row r="98" customFormat="false" ht="23.85" hidden="false" customHeight="false" outlineLevel="0" collapsed="false">
      <c r="A98" s="7" t="s">
        <v>588</v>
      </c>
      <c r="B98" s="7" t="s">
        <v>22</v>
      </c>
      <c r="C98" s="7" t="s">
        <v>36</v>
      </c>
      <c r="D98" s="7" t="s">
        <v>589</v>
      </c>
      <c r="E98" s="7" t="s">
        <v>42</v>
      </c>
      <c r="F98" s="7" t="s">
        <v>14</v>
      </c>
      <c r="G98" s="7" t="s">
        <v>590</v>
      </c>
      <c r="H98" s="7" t="s">
        <v>591</v>
      </c>
      <c r="I98" s="7" t="s">
        <v>592</v>
      </c>
      <c r="J98" s="7" t="s">
        <v>593</v>
      </c>
      <c r="K98" s="7" t="s">
        <v>594</v>
      </c>
      <c r="L98" s="7"/>
      <c r="M98" s="7" t="s">
        <v>595</v>
      </c>
      <c r="N98" s="7" t="s">
        <v>6</v>
      </c>
      <c r="O98" s="7"/>
      <c r="P98" s="7"/>
      <c r="Q98" s="7"/>
      <c r="R98" s="7"/>
      <c r="S98" s="7"/>
    </row>
    <row r="99" customFormat="false" ht="35.05" hidden="false" customHeight="false" outlineLevel="0" collapsed="false">
      <c r="A99" s="7" t="s">
        <v>596</v>
      </c>
      <c r="B99" s="7" t="s">
        <v>22</v>
      </c>
      <c r="C99" s="7" t="s">
        <v>36</v>
      </c>
      <c r="D99" s="7" t="s">
        <v>597</v>
      </c>
      <c r="E99" s="7" t="s">
        <v>45</v>
      </c>
      <c r="F99" s="7" t="s">
        <v>14</v>
      </c>
      <c r="G99" s="7" t="s">
        <v>598</v>
      </c>
      <c r="H99" s="7" t="s">
        <v>599</v>
      </c>
      <c r="I99" s="7" t="s">
        <v>600</v>
      </c>
      <c r="J99" s="7" t="s">
        <v>601</v>
      </c>
      <c r="K99" s="7" t="s">
        <v>602</v>
      </c>
      <c r="L99" s="7" t="s">
        <v>603</v>
      </c>
      <c r="M99" s="7" t="s">
        <v>595</v>
      </c>
      <c r="N99" s="7" t="s">
        <v>6</v>
      </c>
      <c r="O99" s="7"/>
      <c r="P99" s="7"/>
      <c r="Q99" s="7"/>
      <c r="R99" s="7"/>
      <c r="S99" s="7"/>
    </row>
    <row r="100" customFormat="false" ht="23.85" hidden="false" customHeight="false" outlineLevel="0" collapsed="false">
      <c r="A100" s="7" t="s">
        <v>604</v>
      </c>
      <c r="B100" s="7" t="s">
        <v>22</v>
      </c>
      <c r="C100" s="7" t="s">
        <v>36</v>
      </c>
      <c r="D100" s="7" t="s">
        <v>605</v>
      </c>
      <c r="E100" s="7" t="s">
        <v>45</v>
      </c>
      <c r="F100" s="7" t="s">
        <v>14</v>
      </c>
      <c r="G100" s="7" t="s">
        <v>606</v>
      </c>
      <c r="H100" s="7"/>
      <c r="I100" s="7" t="s">
        <v>607</v>
      </c>
      <c r="J100" s="7" t="s">
        <v>608</v>
      </c>
      <c r="K100" s="7" t="s">
        <v>602</v>
      </c>
      <c r="L100" s="7"/>
      <c r="M100" s="7" t="s">
        <v>595</v>
      </c>
      <c r="N100" s="7" t="s">
        <v>6</v>
      </c>
      <c r="O100" s="7"/>
      <c r="P100" s="7"/>
      <c r="Q100" s="7"/>
      <c r="R100" s="7"/>
      <c r="S100" s="7"/>
    </row>
    <row r="101" customFormat="false" ht="23.85" hidden="false" customHeight="false" outlineLevel="0" collapsed="false">
      <c r="A101" s="7" t="s">
        <v>609</v>
      </c>
      <c r="B101" s="7" t="s">
        <v>22</v>
      </c>
      <c r="C101" s="7" t="s">
        <v>36</v>
      </c>
      <c r="D101" s="7" t="s">
        <v>610</v>
      </c>
      <c r="E101" s="7" t="s">
        <v>43</v>
      </c>
      <c r="F101" s="7" t="s">
        <v>15</v>
      </c>
      <c r="G101" s="7"/>
      <c r="H101" s="7" t="s">
        <v>611</v>
      </c>
      <c r="I101" s="7" t="s">
        <v>527</v>
      </c>
      <c r="J101" s="7" t="s">
        <v>612</v>
      </c>
      <c r="K101" s="7" t="s">
        <v>602</v>
      </c>
      <c r="L101" s="7" t="s">
        <v>613</v>
      </c>
      <c r="M101" s="7" t="s">
        <v>595</v>
      </c>
      <c r="N101" s="7" t="s">
        <v>6</v>
      </c>
      <c r="O101" s="7"/>
      <c r="P101" s="7"/>
      <c r="Q101" s="7"/>
      <c r="R101" s="7"/>
      <c r="S101" s="7"/>
    </row>
    <row r="102" customFormat="false" ht="23.85" hidden="false" customHeight="false" outlineLevel="0" collapsed="false">
      <c r="A102" s="7" t="s">
        <v>614</v>
      </c>
      <c r="B102" s="7" t="s">
        <v>22</v>
      </c>
      <c r="C102" s="7" t="s">
        <v>36</v>
      </c>
      <c r="D102" s="7" t="s">
        <v>615</v>
      </c>
      <c r="E102" s="7" t="s">
        <v>43</v>
      </c>
      <c r="F102" s="7" t="s">
        <v>14</v>
      </c>
      <c r="G102" s="7" t="s">
        <v>616</v>
      </c>
      <c r="H102" s="7" t="s">
        <v>617</v>
      </c>
      <c r="I102" s="7" t="s">
        <v>618</v>
      </c>
      <c r="J102" s="7" t="s">
        <v>619</v>
      </c>
      <c r="K102" s="7" t="s">
        <v>602</v>
      </c>
      <c r="L102" s="7" t="s">
        <v>331</v>
      </c>
      <c r="M102" s="7" t="s">
        <v>595</v>
      </c>
      <c r="N102" s="7" t="s">
        <v>6</v>
      </c>
      <c r="O102" s="7"/>
      <c r="P102" s="7"/>
      <c r="Q102" s="7"/>
      <c r="R102" s="7"/>
      <c r="S102" s="7"/>
    </row>
    <row r="103" customFormat="false" ht="23.85" hidden="false" customHeight="false" outlineLevel="0" collapsed="false">
      <c r="A103" s="7" t="s">
        <v>620</v>
      </c>
      <c r="B103" s="7" t="s">
        <v>22</v>
      </c>
      <c r="C103" s="7" t="s">
        <v>36</v>
      </c>
      <c r="D103" s="7" t="s">
        <v>621</v>
      </c>
      <c r="E103" s="7" t="s">
        <v>42</v>
      </c>
      <c r="F103" s="7" t="s">
        <v>15</v>
      </c>
      <c r="G103" s="7"/>
      <c r="H103" s="7" t="s">
        <v>622</v>
      </c>
      <c r="I103" s="7" t="s">
        <v>623</v>
      </c>
      <c r="J103" s="7" t="s">
        <v>624</v>
      </c>
      <c r="K103" s="7" t="s">
        <v>625</v>
      </c>
      <c r="L103" s="7"/>
      <c r="M103" s="7" t="s">
        <v>595</v>
      </c>
      <c r="N103" s="7" t="s">
        <v>6</v>
      </c>
      <c r="O103" s="7"/>
      <c r="P103" s="7"/>
      <c r="Q103" s="7"/>
      <c r="R103" s="7"/>
      <c r="S103" s="7"/>
    </row>
    <row r="104" customFormat="false" ht="23.85" hidden="false" customHeight="false" outlineLevel="0" collapsed="false">
      <c r="A104" s="7" t="s">
        <v>626</v>
      </c>
      <c r="B104" s="7" t="s">
        <v>22</v>
      </c>
      <c r="C104" s="7" t="s">
        <v>36</v>
      </c>
      <c r="D104" s="7" t="s">
        <v>627</v>
      </c>
      <c r="E104" s="7" t="s">
        <v>43</v>
      </c>
      <c r="F104" s="7" t="s">
        <v>15</v>
      </c>
      <c r="G104" s="7"/>
      <c r="H104" s="7" t="s">
        <v>628</v>
      </c>
      <c r="I104" s="7" t="s">
        <v>629</v>
      </c>
      <c r="J104" s="7" t="s">
        <v>630</v>
      </c>
      <c r="K104" s="7" t="s">
        <v>625</v>
      </c>
      <c r="L104" s="7"/>
      <c r="M104" s="7" t="s">
        <v>595</v>
      </c>
      <c r="N104" s="7" t="s">
        <v>6</v>
      </c>
      <c r="O104" s="7"/>
      <c r="P104" s="7"/>
      <c r="Q104" s="7"/>
      <c r="R104" s="7"/>
      <c r="S104" s="7"/>
    </row>
    <row r="105" customFormat="false" ht="23.85" hidden="false" customHeight="false" outlineLevel="0" collapsed="false">
      <c r="A105" s="7" t="s">
        <v>631</v>
      </c>
      <c r="B105" s="7" t="s">
        <v>22</v>
      </c>
      <c r="C105" s="7" t="s">
        <v>36</v>
      </c>
      <c r="D105" s="7" t="s">
        <v>632</v>
      </c>
      <c r="E105" s="7" t="s">
        <v>42</v>
      </c>
      <c r="F105" s="7" t="s">
        <v>14</v>
      </c>
      <c r="G105" s="7" t="s">
        <v>633</v>
      </c>
      <c r="H105" s="7"/>
      <c r="I105" s="7" t="s">
        <v>634</v>
      </c>
      <c r="J105" s="7" t="s">
        <v>635</v>
      </c>
      <c r="K105" s="7" t="s">
        <v>602</v>
      </c>
      <c r="L105" s="7"/>
      <c r="M105" s="7" t="s">
        <v>595</v>
      </c>
      <c r="N105" s="7" t="s">
        <v>6</v>
      </c>
      <c r="O105" s="7"/>
      <c r="P105" s="7"/>
      <c r="Q105" s="7"/>
      <c r="R105" s="7"/>
      <c r="S105" s="7"/>
    </row>
    <row r="106" customFormat="false" ht="23.85" hidden="false" customHeight="false" outlineLevel="0" collapsed="false">
      <c r="A106" s="7" t="s">
        <v>636</v>
      </c>
      <c r="B106" s="7" t="s">
        <v>22</v>
      </c>
      <c r="C106" s="7" t="s">
        <v>36</v>
      </c>
      <c r="D106" s="7" t="s">
        <v>637</v>
      </c>
      <c r="E106" s="7" t="s">
        <v>43</v>
      </c>
      <c r="F106" s="7" t="s">
        <v>14</v>
      </c>
      <c r="G106" s="7"/>
      <c r="H106" s="7" t="s">
        <v>638</v>
      </c>
      <c r="I106" s="7" t="s">
        <v>639</v>
      </c>
      <c r="J106" s="7" t="s">
        <v>640</v>
      </c>
      <c r="K106" s="7" t="s">
        <v>602</v>
      </c>
      <c r="L106" s="7"/>
      <c r="M106" s="7" t="s">
        <v>595</v>
      </c>
      <c r="N106" s="7" t="s">
        <v>6</v>
      </c>
      <c r="O106" s="7"/>
      <c r="P106" s="7"/>
      <c r="Q106" s="7"/>
      <c r="R106" s="7"/>
      <c r="S106" s="7"/>
    </row>
    <row r="107" customFormat="false" ht="23.85" hidden="false" customHeight="false" outlineLevel="0" collapsed="false">
      <c r="A107" s="7" t="s">
        <v>641</v>
      </c>
      <c r="B107" s="7" t="s">
        <v>22</v>
      </c>
      <c r="C107" s="7" t="s">
        <v>36</v>
      </c>
      <c r="D107" s="7" t="s">
        <v>642</v>
      </c>
      <c r="E107" s="7" t="s">
        <v>42</v>
      </c>
      <c r="F107" s="7" t="s">
        <v>15</v>
      </c>
      <c r="G107" s="7"/>
      <c r="H107" s="7" t="s">
        <v>643</v>
      </c>
      <c r="I107" s="7" t="s">
        <v>644</v>
      </c>
      <c r="J107" s="7" t="s">
        <v>645</v>
      </c>
      <c r="K107" s="7" t="s">
        <v>602</v>
      </c>
      <c r="L107" s="7"/>
      <c r="M107" s="7" t="s">
        <v>595</v>
      </c>
      <c r="N107" s="7" t="s">
        <v>6</v>
      </c>
      <c r="O107" s="7"/>
      <c r="P107" s="7"/>
      <c r="Q107" s="7"/>
      <c r="R107" s="7"/>
      <c r="S107" s="7"/>
    </row>
    <row r="108" customFormat="false" ht="46.25" hidden="false" customHeight="false" outlineLevel="0" collapsed="false">
      <c r="A108" s="7" t="s">
        <v>646</v>
      </c>
      <c r="B108" s="7" t="s">
        <v>22</v>
      </c>
      <c r="C108" s="7" t="s">
        <v>36</v>
      </c>
      <c r="D108" s="7" t="s">
        <v>647</v>
      </c>
      <c r="E108" s="7" t="s">
        <v>42</v>
      </c>
      <c r="F108" s="7" t="s">
        <v>16</v>
      </c>
      <c r="G108" s="7"/>
      <c r="H108" s="7"/>
      <c r="I108" s="7" t="s">
        <v>648</v>
      </c>
      <c r="J108" s="7" t="s">
        <v>649</v>
      </c>
      <c r="K108" s="7" t="s">
        <v>602</v>
      </c>
      <c r="L108" s="7"/>
      <c r="M108" s="7" t="s">
        <v>595</v>
      </c>
      <c r="N108" s="7" t="s">
        <v>6</v>
      </c>
      <c r="O108" s="7"/>
      <c r="P108" s="7"/>
      <c r="Q108" s="7"/>
      <c r="R108" s="7"/>
      <c r="S108" s="7"/>
    </row>
    <row r="109" customFormat="false" ht="23.85" hidden="false" customHeight="false" outlineLevel="0" collapsed="false">
      <c r="A109" s="7" t="s">
        <v>650</v>
      </c>
      <c r="B109" s="7" t="s">
        <v>22</v>
      </c>
      <c r="C109" s="7" t="s">
        <v>36</v>
      </c>
      <c r="D109" s="7" t="s">
        <v>651</v>
      </c>
      <c r="E109" s="7" t="s">
        <v>43</v>
      </c>
      <c r="F109" s="7" t="s">
        <v>14</v>
      </c>
      <c r="G109" s="7"/>
      <c r="H109" s="7"/>
      <c r="I109" s="7" t="s">
        <v>652</v>
      </c>
      <c r="J109" s="7" t="s">
        <v>653</v>
      </c>
      <c r="K109" s="7" t="s">
        <v>602</v>
      </c>
      <c r="L109" s="7"/>
      <c r="M109" s="7" t="s">
        <v>595</v>
      </c>
      <c r="N109" s="7" t="s">
        <v>6</v>
      </c>
      <c r="O109" s="7"/>
      <c r="P109" s="7"/>
      <c r="Q109" s="7"/>
      <c r="R109" s="7"/>
      <c r="S109" s="7"/>
    </row>
    <row r="110" customFormat="false" ht="23.85" hidden="false" customHeight="false" outlineLevel="0" collapsed="false">
      <c r="A110" s="7" t="s">
        <v>654</v>
      </c>
      <c r="B110" s="7" t="s">
        <v>22</v>
      </c>
      <c r="C110" s="7" t="s">
        <v>36</v>
      </c>
      <c r="D110" s="7" t="s">
        <v>655</v>
      </c>
      <c r="E110" s="7" t="s">
        <v>43</v>
      </c>
      <c r="F110" s="7" t="s">
        <v>15</v>
      </c>
      <c r="G110" s="7"/>
      <c r="H110" s="7" t="s">
        <v>656</v>
      </c>
      <c r="I110" s="7" t="s">
        <v>657</v>
      </c>
      <c r="J110" s="7" t="s">
        <v>658</v>
      </c>
      <c r="K110" s="7" t="s">
        <v>659</v>
      </c>
      <c r="L110" s="7" t="s">
        <v>660</v>
      </c>
      <c r="M110" s="7" t="s">
        <v>595</v>
      </c>
      <c r="N110" s="7" t="s">
        <v>6</v>
      </c>
      <c r="O110" s="7"/>
      <c r="P110" s="7"/>
      <c r="Q110" s="7"/>
      <c r="R110" s="7"/>
      <c r="S110" s="7"/>
    </row>
    <row r="111" customFormat="false" ht="35.05" hidden="false" customHeight="false" outlineLevel="0" collapsed="false">
      <c r="A111" s="7" t="s">
        <v>661</v>
      </c>
      <c r="B111" s="7" t="s">
        <v>22</v>
      </c>
      <c r="C111" s="7" t="s">
        <v>36</v>
      </c>
      <c r="D111" s="7" t="s">
        <v>662</v>
      </c>
      <c r="E111" s="7" t="s">
        <v>43</v>
      </c>
      <c r="F111" s="7" t="s">
        <v>15</v>
      </c>
      <c r="G111" s="7" t="s">
        <v>663</v>
      </c>
      <c r="H111" s="7" t="s">
        <v>664</v>
      </c>
      <c r="I111" s="7" t="s">
        <v>665</v>
      </c>
      <c r="J111" s="7" t="s">
        <v>666</v>
      </c>
      <c r="K111" s="7" t="s">
        <v>659</v>
      </c>
      <c r="L111" s="7" t="s">
        <v>667</v>
      </c>
      <c r="M111" s="7" t="s">
        <v>595</v>
      </c>
      <c r="N111" s="7" t="s">
        <v>6</v>
      </c>
      <c r="O111" s="7"/>
      <c r="P111" s="7"/>
      <c r="Q111" s="7"/>
      <c r="R111" s="7"/>
      <c r="S111" s="7"/>
    </row>
    <row r="112" customFormat="false" ht="23.85" hidden="false" customHeight="false" outlineLevel="0" collapsed="false">
      <c r="A112" s="7" t="s">
        <v>668</v>
      </c>
      <c r="B112" s="7" t="s">
        <v>22</v>
      </c>
      <c r="C112" s="7" t="s">
        <v>36</v>
      </c>
      <c r="D112" s="7" t="s">
        <v>669</v>
      </c>
      <c r="E112" s="7" t="s">
        <v>42</v>
      </c>
      <c r="F112" s="7" t="s">
        <v>15</v>
      </c>
      <c r="G112" s="7"/>
      <c r="H112" s="7" t="s">
        <v>670</v>
      </c>
      <c r="I112" s="7" t="s">
        <v>671</v>
      </c>
      <c r="J112" s="7" t="s">
        <v>672</v>
      </c>
      <c r="K112" s="7" t="s">
        <v>659</v>
      </c>
      <c r="L112" s="7" t="s">
        <v>673</v>
      </c>
      <c r="M112" s="7" t="s">
        <v>595</v>
      </c>
      <c r="N112" s="7" t="s">
        <v>6</v>
      </c>
      <c r="O112" s="7"/>
      <c r="P112" s="7"/>
      <c r="Q112" s="7"/>
      <c r="R112" s="7"/>
      <c r="S112" s="7"/>
    </row>
    <row r="113" customFormat="false" ht="23.85" hidden="false" customHeight="false" outlineLevel="0" collapsed="false">
      <c r="A113" s="7" t="s">
        <v>674</v>
      </c>
      <c r="B113" s="7" t="s">
        <v>22</v>
      </c>
      <c r="C113" s="7" t="s">
        <v>36</v>
      </c>
      <c r="D113" s="7" t="s">
        <v>675</v>
      </c>
      <c r="E113" s="7" t="s">
        <v>46</v>
      </c>
      <c r="F113" s="7" t="s">
        <v>15</v>
      </c>
      <c r="G113" s="7" t="s">
        <v>676</v>
      </c>
      <c r="H113" s="7"/>
      <c r="I113" s="7" t="s">
        <v>677</v>
      </c>
      <c r="J113" s="7" t="s">
        <v>678</v>
      </c>
      <c r="K113" s="7" t="s">
        <v>659</v>
      </c>
      <c r="L113" s="7" t="s">
        <v>673</v>
      </c>
      <c r="M113" s="7" t="s">
        <v>595</v>
      </c>
      <c r="N113" s="7" t="s">
        <v>6</v>
      </c>
      <c r="O113" s="7"/>
      <c r="P113" s="7"/>
      <c r="Q113" s="7"/>
      <c r="R113" s="7"/>
      <c r="S113" s="7"/>
    </row>
    <row r="114" customFormat="false" ht="23.85" hidden="false" customHeight="false" outlineLevel="0" collapsed="false">
      <c r="A114" s="7" t="s">
        <v>679</v>
      </c>
      <c r="B114" s="7" t="s">
        <v>22</v>
      </c>
      <c r="C114" s="7" t="s">
        <v>36</v>
      </c>
      <c r="D114" s="7" t="s">
        <v>680</v>
      </c>
      <c r="E114" s="7" t="s">
        <v>46</v>
      </c>
      <c r="F114" s="7" t="s">
        <v>15</v>
      </c>
      <c r="G114" s="7"/>
      <c r="H114" s="7"/>
      <c r="I114" s="7" t="s">
        <v>681</v>
      </c>
      <c r="J114" s="7" t="s">
        <v>682</v>
      </c>
      <c r="K114" s="7" t="s">
        <v>683</v>
      </c>
      <c r="L114" s="7"/>
      <c r="M114" s="7" t="s">
        <v>595</v>
      </c>
      <c r="N114" s="7" t="s">
        <v>6</v>
      </c>
      <c r="O114" s="7"/>
      <c r="P114" s="7"/>
      <c r="Q114" s="7"/>
      <c r="R114" s="7"/>
      <c r="S114" s="7"/>
    </row>
    <row r="115" customFormat="false" ht="23.85" hidden="false" customHeight="false" outlineLevel="0" collapsed="false">
      <c r="A115" s="7" t="s">
        <v>684</v>
      </c>
      <c r="B115" s="7" t="s">
        <v>22</v>
      </c>
      <c r="C115" s="7" t="s">
        <v>37</v>
      </c>
      <c r="D115" s="7" t="s">
        <v>685</v>
      </c>
      <c r="E115" s="7" t="s">
        <v>43</v>
      </c>
      <c r="F115" s="7" t="s">
        <v>14</v>
      </c>
      <c r="G115" s="7" t="s">
        <v>686</v>
      </c>
      <c r="H115" s="7" t="s">
        <v>687</v>
      </c>
      <c r="I115" s="7" t="s">
        <v>484</v>
      </c>
      <c r="J115" s="7" t="s">
        <v>688</v>
      </c>
      <c r="K115" s="7" t="s">
        <v>602</v>
      </c>
      <c r="L115" s="7" t="s">
        <v>473</v>
      </c>
      <c r="M115" s="7" t="s">
        <v>689</v>
      </c>
      <c r="N115" s="7" t="s">
        <v>6</v>
      </c>
      <c r="O115" s="7"/>
      <c r="P115" s="7"/>
      <c r="Q115" s="7"/>
      <c r="R115" s="7"/>
      <c r="S115" s="7"/>
    </row>
    <row r="116" customFormat="false" ht="23.85" hidden="false" customHeight="false" outlineLevel="0" collapsed="false">
      <c r="A116" s="7" t="s">
        <v>690</v>
      </c>
      <c r="B116" s="7" t="s">
        <v>22</v>
      </c>
      <c r="C116" s="7" t="s">
        <v>37</v>
      </c>
      <c r="D116" s="7" t="s">
        <v>691</v>
      </c>
      <c r="E116" s="7" t="s">
        <v>45</v>
      </c>
      <c r="F116" s="7" t="s">
        <v>14</v>
      </c>
      <c r="G116" s="7" t="s">
        <v>606</v>
      </c>
      <c r="H116" s="7"/>
      <c r="I116" s="7" t="s">
        <v>692</v>
      </c>
      <c r="J116" s="7" t="s">
        <v>693</v>
      </c>
      <c r="K116" s="7" t="s">
        <v>602</v>
      </c>
      <c r="L116" s="7"/>
      <c r="M116" s="7" t="s">
        <v>689</v>
      </c>
      <c r="N116" s="7" t="s">
        <v>6</v>
      </c>
      <c r="O116" s="7"/>
      <c r="P116" s="7"/>
      <c r="Q116" s="7"/>
      <c r="R116" s="7"/>
      <c r="S116" s="7"/>
    </row>
    <row r="117" customFormat="false" ht="23.85" hidden="false" customHeight="false" outlineLevel="0" collapsed="false">
      <c r="A117" s="7" t="s">
        <v>694</v>
      </c>
      <c r="B117" s="7" t="s">
        <v>22</v>
      </c>
      <c r="C117" s="7" t="s">
        <v>37</v>
      </c>
      <c r="D117" s="7" t="s">
        <v>695</v>
      </c>
      <c r="E117" s="7" t="s">
        <v>43</v>
      </c>
      <c r="F117" s="7" t="s">
        <v>15</v>
      </c>
      <c r="G117" s="7"/>
      <c r="H117" s="7" t="s">
        <v>696</v>
      </c>
      <c r="I117" s="7" t="s">
        <v>484</v>
      </c>
      <c r="J117" s="7" t="s">
        <v>485</v>
      </c>
      <c r="K117" s="7" t="s">
        <v>659</v>
      </c>
      <c r="L117" s="7"/>
      <c r="M117" s="7" t="s">
        <v>689</v>
      </c>
      <c r="N117" s="7" t="s">
        <v>6</v>
      </c>
      <c r="O117" s="7"/>
      <c r="P117" s="7"/>
      <c r="Q117" s="7"/>
      <c r="R117" s="7"/>
      <c r="S117" s="7"/>
    </row>
    <row r="118" customFormat="false" ht="23.85" hidden="false" customHeight="false" outlineLevel="0" collapsed="false">
      <c r="A118" s="7" t="s">
        <v>697</v>
      </c>
      <c r="B118" s="7" t="s">
        <v>22</v>
      </c>
      <c r="C118" s="7" t="s">
        <v>37</v>
      </c>
      <c r="D118" s="7" t="s">
        <v>698</v>
      </c>
      <c r="E118" s="7" t="s">
        <v>42</v>
      </c>
      <c r="F118" s="7" t="s">
        <v>15</v>
      </c>
      <c r="G118" s="7"/>
      <c r="H118" s="7" t="s">
        <v>580</v>
      </c>
      <c r="I118" s="7" t="s">
        <v>699</v>
      </c>
      <c r="J118" s="7" t="s">
        <v>700</v>
      </c>
      <c r="K118" s="7" t="s">
        <v>594</v>
      </c>
      <c r="L118" s="7"/>
      <c r="M118" s="7" t="s">
        <v>689</v>
      </c>
      <c r="N118" s="7" t="s">
        <v>6</v>
      </c>
      <c r="O118" s="7"/>
      <c r="P118" s="7"/>
      <c r="Q118" s="7"/>
      <c r="R118" s="7"/>
      <c r="S118" s="7"/>
    </row>
    <row r="119" customFormat="false" ht="35.05" hidden="false" customHeight="false" outlineLevel="0" collapsed="false">
      <c r="A119" s="7" t="s">
        <v>701</v>
      </c>
      <c r="B119" s="7" t="s">
        <v>23</v>
      </c>
      <c r="C119" s="7" t="s">
        <v>36</v>
      </c>
      <c r="D119" s="7" t="s">
        <v>702</v>
      </c>
      <c r="E119" s="7" t="s">
        <v>42</v>
      </c>
      <c r="F119" s="7" t="s">
        <v>14</v>
      </c>
      <c r="G119" s="7" t="s">
        <v>703</v>
      </c>
      <c r="H119" s="7" t="s">
        <v>704</v>
      </c>
      <c r="I119" s="7" t="s">
        <v>705</v>
      </c>
      <c r="J119" s="7" t="s">
        <v>706</v>
      </c>
      <c r="K119" s="7" t="s">
        <v>707</v>
      </c>
      <c r="L119" s="7"/>
      <c r="M119" s="7" t="s">
        <v>708</v>
      </c>
      <c r="N119" s="7" t="s">
        <v>6</v>
      </c>
      <c r="O119" s="7"/>
      <c r="P119" s="7"/>
      <c r="Q119" s="7"/>
      <c r="R119" s="7"/>
      <c r="S119" s="7"/>
    </row>
    <row r="120" customFormat="false" ht="23.85" hidden="false" customHeight="false" outlineLevel="0" collapsed="false">
      <c r="A120" s="7" t="s">
        <v>709</v>
      </c>
      <c r="B120" s="7" t="s">
        <v>23</v>
      </c>
      <c r="C120" s="7" t="s">
        <v>36</v>
      </c>
      <c r="D120" s="7" t="s">
        <v>710</v>
      </c>
      <c r="E120" s="7" t="s">
        <v>42</v>
      </c>
      <c r="F120" s="7" t="s">
        <v>14</v>
      </c>
      <c r="G120" s="7"/>
      <c r="H120" s="7" t="s">
        <v>711</v>
      </c>
      <c r="I120" s="7" t="s">
        <v>712</v>
      </c>
      <c r="J120" s="7" t="s">
        <v>713</v>
      </c>
      <c r="K120" s="7" t="s">
        <v>707</v>
      </c>
      <c r="L120" s="7" t="s">
        <v>714</v>
      </c>
      <c r="M120" s="7" t="s">
        <v>708</v>
      </c>
      <c r="N120" s="7" t="s">
        <v>6</v>
      </c>
      <c r="O120" s="7"/>
      <c r="P120" s="7"/>
      <c r="Q120" s="7"/>
      <c r="R120" s="7"/>
      <c r="S120" s="7"/>
    </row>
    <row r="121" customFormat="false" ht="23.85" hidden="false" customHeight="false" outlineLevel="0" collapsed="false">
      <c r="A121" s="7" t="s">
        <v>715</v>
      </c>
      <c r="B121" s="7" t="s">
        <v>23</v>
      </c>
      <c r="C121" s="7" t="s">
        <v>36</v>
      </c>
      <c r="D121" s="7" t="s">
        <v>716</v>
      </c>
      <c r="E121" s="7" t="s">
        <v>44</v>
      </c>
      <c r="F121" s="7" t="s">
        <v>14</v>
      </c>
      <c r="G121" s="7"/>
      <c r="H121" s="7" t="s">
        <v>717</v>
      </c>
      <c r="I121" s="7" t="s">
        <v>718</v>
      </c>
      <c r="J121" s="7" t="s">
        <v>719</v>
      </c>
      <c r="K121" s="7" t="s">
        <v>707</v>
      </c>
      <c r="L121" s="7" t="s">
        <v>720</v>
      </c>
      <c r="M121" s="7" t="s">
        <v>708</v>
      </c>
      <c r="N121" s="7" t="s">
        <v>6</v>
      </c>
      <c r="O121" s="7"/>
      <c r="P121" s="7"/>
      <c r="Q121" s="7"/>
      <c r="R121" s="7"/>
      <c r="S121" s="7"/>
    </row>
    <row r="122" customFormat="false" ht="23.85" hidden="false" customHeight="false" outlineLevel="0" collapsed="false">
      <c r="A122" s="7" t="s">
        <v>721</v>
      </c>
      <c r="B122" s="7" t="s">
        <v>23</v>
      </c>
      <c r="C122" s="7" t="s">
        <v>36</v>
      </c>
      <c r="D122" s="7" t="s">
        <v>722</v>
      </c>
      <c r="E122" s="7" t="s">
        <v>44</v>
      </c>
      <c r="F122" s="7" t="s">
        <v>14</v>
      </c>
      <c r="G122" s="7"/>
      <c r="H122" s="7" t="s">
        <v>723</v>
      </c>
      <c r="I122" s="7" t="s">
        <v>724</v>
      </c>
      <c r="J122" s="7" t="s">
        <v>397</v>
      </c>
      <c r="K122" s="7" t="s">
        <v>707</v>
      </c>
      <c r="L122" s="7" t="s">
        <v>673</v>
      </c>
      <c r="M122" s="7" t="s">
        <v>708</v>
      </c>
      <c r="N122" s="7" t="s">
        <v>6</v>
      </c>
      <c r="O122" s="7"/>
      <c r="P122" s="7"/>
      <c r="Q122" s="7"/>
      <c r="R122" s="7"/>
      <c r="S122" s="7"/>
    </row>
    <row r="123" customFormat="false" ht="23.85" hidden="false" customHeight="false" outlineLevel="0" collapsed="false">
      <c r="A123" s="7" t="s">
        <v>725</v>
      </c>
      <c r="B123" s="7" t="s">
        <v>23</v>
      </c>
      <c r="C123" s="7" t="s">
        <v>36</v>
      </c>
      <c r="D123" s="7" t="s">
        <v>726</v>
      </c>
      <c r="E123" s="7" t="s">
        <v>44</v>
      </c>
      <c r="F123" s="7" t="s">
        <v>14</v>
      </c>
      <c r="G123" s="7"/>
      <c r="H123" s="7" t="s">
        <v>727</v>
      </c>
      <c r="I123" s="7" t="s">
        <v>728</v>
      </c>
      <c r="J123" s="7" t="s">
        <v>397</v>
      </c>
      <c r="K123" s="7" t="s">
        <v>707</v>
      </c>
      <c r="L123" s="7" t="s">
        <v>673</v>
      </c>
      <c r="M123" s="7" t="s">
        <v>708</v>
      </c>
      <c r="N123" s="7" t="s">
        <v>6</v>
      </c>
      <c r="O123" s="7"/>
      <c r="P123" s="7"/>
      <c r="Q123" s="7"/>
      <c r="R123" s="7"/>
      <c r="S123" s="7"/>
    </row>
    <row r="124" customFormat="false" ht="23.85" hidden="false" customHeight="false" outlineLevel="0" collapsed="false">
      <c r="A124" s="7" t="s">
        <v>729</v>
      </c>
      <c r="B124" s="7" t="s">
        <v>23</v>
      </c>
      <c r="C124" s="7" t="s">
        <v>36</v>
      </c>
      <c r="D124" s="7" t="s">
        <v>730</v>
      </c>
      <c r="E124" s="7" t="s">
        <v>44</v>
      </c>
      <c r="F124" s="7" t="s">
        <v>14</v>
      </c>
      <c r="G124" s="7"/>
      <c r="H124" s="7" t="s">
        <v>731</v>
      </c>
      <c r="I124" s="7" t="s">
        <v>732</v>
      </c>
      <c r="J124" s="7" t="s">
        <v>719</v>
      </c>
      <c r="K124" s="7" t="s">
        <v>707</v>
      </c>
      <c r="L124" s="7" t="s">
        <v>673</v>
      </c>
      <c r="M124" s="7" t="s">
        <v>708</v>
      </c>
      <c r="N124" s="7" t="s">
        <v>6</v>
      </c>
      <c r="O124" s="7"/>
      <c r="P124" s="7"/>
      <c r="Q124" s="7"/>
      <c r="R124" s="7"/>
      <c r="S124" s="7"/>
    </row>
    <row r="125" customFormat="false" ht="23.85" hidden="false" customHeight="false" outlineLevel="0" collapsed="false">
      <c r="A125" s="7" t="s">
        <v>733</v>
      </c>
      <c r="B125" s="7" t="s">
        <v>23</v>
      </c>
      <c r="C125" s="7" t="s">
        <v>36</v>
      </c>
      <c r="D125" s="7" t="s">
        <v>734</v>
      </c>
      <c r="E125" s="7" t="s">
        <v>43</v>
      </c>
      <c r="F125" s="7" t="s">
        <v>15</v>
      </c>
      <c r="G125" s="7"/>
      <c r="H125" s="7" t="s">
        <v>735</v>
      </c>
      <c r="I125" s="7" t="s">
        <v>527</v>
      </c>
      <c r="J125" s="7" t="s">
        <v>736</v>
      </c>
      <c r="K125" s="7" t="s">
        <v>707</v>
      </c>
      <c r="L125" s="7"/>
      <c r="M125" s="7" t="s">
        <v>708</v>
      </c>
      <c r="N125" s="7" t="s">
        <v>6</v>
      </c>
      <c r="O125" s="7"/>
      <c r="P125" s="7"/>
      <c r="Q125" s="7"/>
      <c r="R125" s="7"/>
      <c r="S125" s="7"/>
    </row>
    <row r="126" customFormat="false" ht="23.85" hidden="false" customHeight="false" outlineLevel="0" collapsed="false">
      <c r="A126" s="7" t="s">
        <v>737</v>
      </c>
      <c r="B126" s="7" t="s">
        <v>23</v>
      </c>
      <c r="C126" s="7" t="s">
        <v>36</v>
      </c>
      <c r="D126" s="7" t="s">
        <v>738</v>
      </c>
      <c r="E126" s="7" t="s">
        <v>42</v>
      </c>
      <c r="F126" s="7" t="s">
        <v>14</v>
      </c>
      <c r="G126" s="7"/>
      <c r="H126" s="7" t="s">
        <v>739</v>
      </c>
      <c r="I126" s="7" t="s">
        <v>740</v>
      </c>
      <c r="J126" s="7" t="s">
        <v>741</v>
      </c>
      <c r="K126" s="7" t="s">
        <v>707</v>
      </c>
      <c r="L126" s="7"/>
      <c r="M126" s="7" t="s">
        <v>708</v>
      </c>
      <c r="N126" s="7" t="s">
        <v>6</v>
      </c>
      <c r="O126" s="7"/>
      <c r="P126" s="7"/>
      <c r="Q126" s="7"/>
      <c r="R126" s="7"/>
      <c r="S126" s="7"/>
    </row>
    <row r="127" customFormat="false" ht="23.85" hidden="false" customHeight="false" outlineLevel="0" collapsed="false">
      <c r="A127" s="7" t="s">
        <v>742</v>
      </c>
      <c r="B127" s="7" t="s">
        <v>23</v>
      </c>
      <c r="C127" s="7" t="s">
        <v>36</v>
      </c>
      <c r="D127" s="7" t="s">
        <v>743</v>
      </c>
      <c r="E127" s="7" t="s">
        <v>46</v>
      </c>
      <c r="F127" s="7" t="s">
        <v>14</v>
      </c>
      <c r="G127" s="7"/>
      <c r="H127" s="7"/>
      <c r="I127" s="7" t="s">
        <v>744</v>
      </c>
      <c r="J127" s="7" t="s">
        <v>745</v>
      </c>
      <c r="K127" s="7" t="s">
        <v>707</v>
      </c>
      <c r="L127" s="7"/>
      <c r="M127" s="7" t="s">
        <v>708</v>
      </c>
      <c r="N127" s="7" t="s">
        <v>6</v>
      </c>
      <c r="O127" s="7"/>
      <c r="P127" s="7"/>
      <c r="Q127" s="7"/>
      <c r="R127" s="7"/>
      <c r="S127" s="7"/>
    </row>
    <row r="128" customFormat="false" ht="23.85" hidden="false" customHeight="false" outlineLevel="0" collapsed="false">
      <c r="A128" s="7" t="s">
        <v>746</v>
      </c>
      <c r="B128" s="7" t="s">
        <v>23</v>
      </c>
      <c r="C128" s="7" t="s">
        <v>36</v>
      </c>
      <c r="D128" s="7" t="s">
        <v>747</v>
      </c>
      <c r="E128" s="7" t="s">
        <v>46</v>
      </c>
      <c r="F128" s="7" t="s">
        <v>15</v>
      </c>
      <c r="G128" s="7"/>
      <c r="H128" s="7" t="s">
        <v>748</v>
      </c>
      <c r="I128" s="7" t="s">
        <v>749</v>
      </c>
      <c r="J128" s="7" t="s">
        <v>750</v>
      </c>
      <c r="K128" s="7" t="s">
        <v>707</v>
      </c>
      <c r="L128" s="7" t="s">
        <v>673</v>
      </c>
      <c r="M128" s="7" t="s">
        <v>708</v>
      </c>
      <c r="N128" s="7" t="s">
        <v>6</v>
      </c>
      <c r="O128" s="7"/>
      <c r="P128" s="7"/>
      <c r="Q128" s="7"/>
      <c r="R128" s="7"/>
      <c r="S128" s="7"/>
    </row>
    <row r="129" customFormat="false" ht="23.85" hidden="false" customHeight="false" outlineLevel="0" collapsed="false">
      <c r="A129" s="7" t="s">
        <v>751</v>
      </c>
      <c r="B129" s="7" t="s">
        <v>23</v>
      </c>
      <c r="C129" s="7" t="s">
        <v>36</v>
      </c>
      <c r="D129" s="7" t="s">
        <v>752</v>
      </c>
      <c r="E129" s="7" t="s">
        <v>43</v>
      </c>
      <c r="F129" s="7" t="s">
        <v>15</v>
      </c>
      <c r="G129" s="7" t="s">
        <v>753</v>
      </c>
      <c r="H129" s="7"/>
      <c r="I129" s="7" t="s">
        <v>754</v>
      </c>
      <c r="J129" s="7" t="s">
        <v>755</v>
      </c>
      <c r="K129" s="7" t="s">
        <v>707</v>
      </c>
      <c r="L129" s="7" t="s">
        <v>756</v>
      </c>
      <c r="M129" s="7" t="s">
        <v>708</v>
      </c>
      <c r="N129" s="7" t="s">
        <v>6</v>
      </c>
      <c r="O129" s="7"/>
      <c r="P129" s="7"/>
      <c r="Q129" s="7"/>
      <c r="R129" s="7"/>
      <c r="S129" s="7"/>
    </row>
    <row r="130" customFormat="false" ht="23.85" hidden="false" customHeight="false" outlineLevel="0" collapsed="false">
      <c r="A130" s="7" t="s">
        <v>757</v>
      </c>
      <c r="B130" s="7" t="s">
        <v>23</v>
      </c>
      <c r="C130" s="7" t="s">
        <v>36</v>
      </c>
      <c r="D130" s="7" t="s">
        <v>758</v>
      </c>
      <c r="E130" s="7" t="s">
        <v>46</v>
      </c>
      <c r="F130" s="7" t="s">
        <v>15</v>
      </c>
      <c r="G130" s="7"/>
      <c r="H130" s="7"/>
      <c r="I130" s="7" t="s">
        <v>759</v>
      </c>
      <c r="J130" s="7" t="s">
        <v>760</v>
      </c>
      <c r="K130" s="7" t="s">
        <v>442</v>
      </c>
      <c r="L130" s="7"/>
      <c r="M130" s="7" t="s">
        <v>708</v>
      </c>
      <c r="N130" s="7" t="s">
        <v>6</v>
      </c>
      <c r="O130" s="7"/>
      <c r="P130" s="7"/>
      <c r="Q130" s="7"/>
      <c r="R130" s="7"/>
      <c r="S130" s="7"/>
    </row>
    <row r="131" customFormat="false" ht="35.05" hidden="false" customHeight="false" outlineLevel="0" collapsed="false">
      <c r="A131" s="7" t="s">
        <v>761</v>
      </c>
      <c r="B131" s="7" t="s">
        <v>23</v>
      </c>
      <c r="C131" s="7" t="s">
        <v>36</v>
      </c>
      <c r="D131" s="7" t="s">
        <v>762</v>
      </c>
      <c r="E131" s="7" t="s">
        <v>46</v>
      </c>
      <c r="F131" s="7" t="s">
        <v>15</v>
      </c>
      <c r="G131" s="7"/>
      <c r="H131" s="7"/>
      <c r="I131" s="7" t="s">
        <v>763</v>
      </c>
      <c r="J131" s="7" t="s">
        <v>764</v>
      </c>
      <c r="K131" s="7" t="s">
        <v>765</v>
      </c>
      <c r="L131" s="7"/>
      <c r="M131" s="7" t="s">
        <v>708</v>
      </c>
      <c r="N131" s="7" t="s">
        <v>6</v>
      </c>
      <c r="O131" s="7"/>
      <c r="P131" s="7"/>
      <c r="Q131" s="7"/>
      <c r="R131" s="7"/>
      <c r="S131" s="7"/>
    </row>
    <row r="132" customFormat="false" ht="23.85" hidden="false" customHeight="false" outlineLevel="0" collapsed="false">
      <c r="A132" s="7" t="s">
        <v>766</v>
      </c>
      <c r="B132" s="7" t="s">
        <v>23</v>
      </c>
      <c r="C132" s="7" t="s">
        <v>37</v>
      </c>
      <c r="D132" s="7" t="s">
        <v>767</v>
      </c>
      <c r="E132" s="7" t="s">
        <v>42</v>
      </c>
      <c r="F132" s="7" t="s">
        <v>14</v>
      </c>
      <c r="G132" s="7" t="s">
        <v>768</v>
      </c>
      <c r="H132" s="7" t="s">
        <v>769</v>
      </c>
      <c r="I132" s="7" t="s">
        <v>770</v>
      </c>
      <c r="J132" s="7" t="s">
        <v>771</v>
      </c>
      <c r="K132" s="7" t="s">
        <v>707</v>
      </c>
      <c r="L132" s="7" t="s">
        <v>225</v>
      </c>
      <c r="M132" s="7" t="s">
        <v>772</v>
      </c>
      <c r="N132" s="7" t="s">
        <v>6</v>
      </c>
      <c r="O132" s="7"/>
      <c r="P132" s="7"/>
      <c r="Q132" s="7"/>
      <c r="R132" s="7"/>
      <c r="S132" s="7"/>
    </row>
    <row r="133" customFormat="false" ht="23.85" hidden="false" customHeight="false" outlineLevel="0" collapsed="false">
      <c r="A133" s="7" t="s">
        <v>773</v>
      </c>
      <c r="B133" s="7" t="s">
        <v>23</v>
      </c>
      <c r="C133" s="7" t="s">
        <v>37</v>
      </c>
      <c r="D133" s="7" t="s">
        <v>774</v>
      </c>
      <c r="E133" s="7" t="s">
        <v>44</v>
      </c>
      <c r="F133" s="7" t="s">
        <v>14</v>
      </c>
      <c r="G133" s="7"/>
      <c r="H133" s="7" t="s">
        <v>775</v>
      </c>
      <c r="I133" s="7" t="s">
        <v>492</v>
      </c>
      <c r="J133" s="7" t="s">
        <v>776</v>
      </c>
      <c r="K133" s="7" t="s">
        <v>707</v>
      </c>
      <c r="L133" s="7" t="s">
        <v>673</v>
      </c>
      <c r="M133" s="7" t="s">
        <v>772</v>
      </c>
      <c r="N133" s="7" t="s">
        <v>6</v>
      </c>
      <c r="O133" s="7"/>
      <c r="P133" s="7"/>
      <c r="Q133" s="7"/>
      <c r="R133" s="7"/>
      <c r="S133" s="7"/>
    </row>
    <row r="134" customFormat="false" ht="23.85" hidden="false" customHeight="false" outlineLevel="0" collapsed="false">
      <c r="A134" s="7" t="s">
        <v>777</v>
      </c>
      <c r="B134" s="7" t="s">
        <v>23</v>
      </c>
      <c r="C134" s="7" t="s">
        <v>37</v>
      </c>
      <c r="D134" s="7" t="s">
        <v>778</v>
      </c>
      <c r="E134" s="7" t="s">
        <v>43</v>
      </c>
      <c r="F134" s="7" t="s">
        <v>15</v>
      </c>
      <c r="G134" s="7"/>
      <c r="H134" s="7"/>
      <c r="I134" s="7" t="s">
        <v>779</v>
      </c>
      <c r="J134" s="7" t="s">
        <v>780</v>
      </c>
      <c r="K134" s="7" t="s">
        <v>707</v>
      </c>
      <c r="L134" s="7"/>
      <c r="M134" s="7" t="s">
        <v>772</v>
      </c>
      <c r="N134" s="7" t="s">
        <v>6</v>
      </c>
      <c r="O134" s="7"/>
      <c r="P134" s="7"/>
      <c r="Q134" s="7"/>
      <c r="R134" s="7"/>
      <c r="S134" s="7"/>
    </row>
    <row r="135" customFormat="false" ht="35.05" hidden="false" customHeight="false" outlineLevel="0" collapsed="false">
      <c r="A135" s="7" t="s">
        <v>781</v>
      </c>
      <c r="B135" s="7" t="s">
        <v>23</v>
      </c>
      <c r="C135" s="7" t="s">
        <v>37</v>
      </c>
      <c r="D135" s="7" t="s">
        <v>782</v>
      </c>
      <c r="E135" s="7" t="s">
        <v>46</v>
      </c>
      <c r="F135" s="7" t="s">
        <v>14</v>
      </c>
      <c r="G135" s="7"/>
      <c r="H135" s="7"/>
      <c r="I135" s="7" t="s">
        <v>783</v>
      </c>
      <c r="J135" s="7" t="s">
        <v>784</v>
      </c>
      <c r="K135" s="7" t="s">
        <v>707</v>
      </c>
      <c r="L135" s="7"/>
      <c r="M135" s="7" t="s">
        <v>772</v>
      </c>
      <c r="N135" s="7" t="s">
        <v>6</v>
      </c>
      <c r="O135" s="7"/>
      <c r="P135" s="7"/>
      <c r="Q135" s="7"/>
      <c r="R135" s="7"/>
      <c r="S135" s="7"/>
    </row>
    <row r="136" customFormat="false" ht="23.85" hidden="false" customHeight="false" outlineLevel="0" collapsed="false">
      <c r="A136" s="7" t="s">
        <v>785</v>
      </c>
      <c r="B136" s="7" t="s">
        <v>23</v>
      </c>
      <c r="C136" s="7" t="s">
        <v>37</v>
      </c>
      <c r="D136" s="7" t="s">
        <v>786</v>
      </c>
      <c r="E136" s="7" t="s">
        <v>43</v>
      </c>
      <c r="F136" s="7" t="s">
        <v>16</v>
      </c>
      <c r="G136" s="7"/>
      <c r="H136" s="7" t="s">
        <v>787</v>
      </c>
      <c r="I136" s="7" t="s">
        <v>788</v>
      </c>
      <c r="J136" s="7" t="s">
        <v>789</v>
      </c>
      <c r="K136" s="7" t="s">
        <v>707</v>
      </c>
      <c r="L136" s="7"/>
      <c r="M136" s="7" t="s">
        <v>772</v>
      </c>
      <c r="N136" s="7" t="s">
        <v>6</v>
      </c>
      <c r="O136" s="7"/>
      <c r="P136" s="7"/>
      <c r="Q136" s="7"/>
      <c r="R136" s="7"/>
      <c r="S136" s="7"/>
    </row>
    <row r="137" customFormat="false" ht="23.85" hidden="false" customHeight="false" outlineLevel="0" collapsed="false">
      <c r="A137" s="7" t="s">
        <v>790</v>
      </c>
      <c r="B137" s="7" t="s">
        <v>24</v>
      </c>
      <c r="C137" s="7" t="s">
        <v>36</v>
      </c>
      <c r="D137" s="7" t="s">
        <v>791</v>
      </c>
      <c r="E137" s="7" t="s">
        <v>42</v>
      </c>
      <c r="F137" s="7" t="s">
        <v>14</v>
      </c>
      <c r="G137" s="7" t="s">
        <v>792</v>
      </c>
      <c r="H137" s="7" t="s">
        <v>793</v>
      </c>
      <c r="I137" s="7" t="s">
        <v>794</v>
      </c>
      <c r="J137" s="7" t="s">
        <v>795</v>
      </c>
      <c r="K137" s="7" t="s">
        <v>796</v>
      </c>
      <c r="L137" s="7" t="s">
        <v>673</v>
      </c>
      <c r="M137" s="7" t="s">
        <v>797</v>
      </c>
      <c r="N137" s="7" t="s">
        <v>6</v>
      </c>
      <c r="O137" s="7"/>
      <c r="P137" s="7"/>
      <c r="Q137" s="7"/>
      <c r="R137" s="7"/>
      <c r="S137" s="7"/>
    </row>
    <row r="138" customFormat="false" ht="23.85" hidden="false" customHeight="false" outlineLevel="0" collapsed="false">
      <c r="A138" s="7" t="s">
        <v>798</v>
      </c>
      <c r="B138" s="7" t="s">
        <v>24</v>
      </c>
      <c r="C138" s="7" t="s">
        <v>36</v>
      </c>
      <c r="D138" s="7" t="s">
        <v>799</v>
      </c>
      <c r="E138" s="7" t="s">
        <v>42</v>
      </c>
      <c r="F138" s="7" t="s">
        <v>15</v>
      </c>
      <c r="G138" s="7" t="s">
        <v>800</v>
      </c>
      <c r="H138" s="7"/>
      <c r="I138" s="7" t="s">
        <v>801</v>
      </c>
      <c r="J138" s="7" t="s">
        <v>802</v>
      </c>
      <c r="K138" s="7" t="s">
        <v>803</v>
      </c>
      <c r="L138" s="7"/>
      <c r="M138" s="7" t="s">
        <v>797</v>
      </c>
      <c r="N138" s="7" t="s">
        <v>6</v>
      </c>
      <c r="O138" s="7"/>
      <c r="P138" s="7"/>
      <c r="Q138" s="7"/>
      <c r="R138" s="7"/>
      <c r="S138" s="7"/>
    </row>
    <row r="139" customFormat="false" ht="23.85" hidden="false" customHeight="false" outlineLevel="0" collapsed="false">
      <c r="A139" s="7" t="s">
        <v>804</v>
      </c>
      <c r="B139" s="7" t="s">
        <v>24</v>
      </c>
      <c r="C139" s="7" t="s">
        <v>36</v>
      </c>
      <c r="D139" s="7" t="s">
        <v>805</v>
      </c>
      <c r="E139" s="7" t="s">
        <v>43</v>
      </c>
      <c r="F139" s="7" t="s">
        <v>14</v>
      </c>
      <c r="G139" s="7"/>
      <c r="H139" s="7" t="s">
        <v>806</v>
      </c>
      <c r="I139" s="7" t="s">
        <v>807</v>
      </c>
      <c r="J139" s="7" t="s">
        <v>808</v>
      </c>
      <c r="K139" s="7" t="s">
        <v>803</v>
      </c>
      <c r="L139" s="7" t="s">
        <v>673</v>
      </c>
      <c r="M139" s="7" t="s">
        <v>797</v>
      </c>
      <c r="N139" s="7" t="s">
        <v>6</v>
      </c>
      <c r="O139" s="7"/>
      <c r="P139" s="7"/>
      <c r="Q139" s="7"/>
      <c r="R139" s="7"/>
      <c r="S139" s="7"/>
    </row>
    <row r="140" customFormat="false" ht="23.85" hidden="false" customHeight="false" outlineLevel="0" collapsed="false">
      <c r="A140" s="7" t="s">
        <v>809</v>
      </c>
      <c r="B140" s="7" t="s">
        <v>24</v>
      </c>
      <c r="C140" s="7" t="s">
        <v>36</v>
      </c>
      <c r="D140" s="7" t="s">
        <v>810</v>
      </c>
      <c r="E140" s="7" t="s">
        <v>44</v>
      </c>
      <c r="F140" s="7" t="s">
        <v>15</v>
      </c>
      <c r="G140" s="7"/>
      <c r="H140" s="7" t="e">
        <f aca="false">base ; base-1 ; base+1</f>
        <v>#VALUE!</v>
      </c>
      <c r="I140" s="7" t="s">
        <v>527</v>
      </c>
      <c r="J140" s="7" t="s">
        <v>811</v>
      </c>
      <c r="K140" s="7" t="s">
        <v>803</v>
      </c>
      <c r="L140" s="7" t="s">
        <v>673</v>
      </c>
      <c r="M140" s="7" t="s">
        <v>797</v>
      </c>
      <c r="N140" s="7" t="s">
        <v>6</v>
      </c>
      <c r="O140" s="7"/>
      <c r="P140" s="7"/>
      <c r="Q140" s="7"/>
      <c r="R140" s="7"/>
      <c r="S140" s="7"/>
    </row>
    <row r="141" customFormat="false" ht="23.85" hidden="false" customHeight="false" outlineLevel="0" collapsed="false">
      <c r="A141" s="7" t="s">
        <v>812</v>
      </c>
      <c r="B141" s="7" t="s">
        <v>24</v>
      </c>
      <c r="C141" s="7" t="s">
        <v>36</v>
      </c>
      <c r="D141" s="7" t="s">
        <v>813</v>
      </c>
      <c r="E141" s="7" t="s">
        <v>43</v>
      </c>
      <c r="F141" s="7" t="s">
        <v>14</v>
      </c>
      <c r="G141" s="7" t="s">
        <v>814</v>
      </c>
      <c r="H141" s="7"/>
      <c r="I141" s="7" t="s">
        <v>815</v>
      </c>
      <c r="J141" s="7" t="s">
        <v>816</v>
      </c>
      <c r="K141" s="7" t="s">
        <v>803</v>
      </c>
      <c r="L141" s="7" t="s">
        <v>817</v>
      </c>
      <c r="M141" s="7" t="s">
        <v>797</v>
      </c>
      <c r="N141" s="7" t="s">
        <v>6</v>
      </c>
      <c r="O141" s="7"/>
      <c r="P141" s="7"/>
      <c r="Q141" s="7"/>
      <c r="R141" s="7"/>
      <c r="S141" s="7"/>
    </row>
    <row r="142" customFormat="false" ht="23.85" hidden="false" customHeight="false" outlineLevel="0" collapsed="false">
      <c r="A142" s="7" t="s">
        <v>818</v>
      </c>
      <c r="B142" s="7" t="s">
        <v>24</v>
      </c>
      <c r="C142" s="7" t="s">
        <v>36</v>
      </c>
      <c r="D142" s="7" t="s">
        <v>819</v>
      </c>
      <c r="E142" s="7" t="s">
        <v>44</v>
      </c>
      <c r="F142" s="7" t="s">
        <v>15</v>
      </c>
      <c r="G142" s="7"/>
      <c r="H142" s="7" t="s">
        <v>820</v>
      </c>
      <c r="I142" s="7" t="s">
        <v>821</v>
      </c>
      <c r="J142" s="7" t="s">
        <v>822</v>
      </c>
      <c r="K142" s="7" t="s">
        <v>803</v>
      </c>
      <c r="L142" s="7" t="s">
        <v>673</v>
      </c>
      <c r="M142" s="7" t="s">
        <v>797</v>
      </c>
      <c r="N142" s="7" t="s">
        <v>6</v>
      </c>
      <c r="O142" s="7"/>
      <c r="P142" s="7"/>
      <c r="Q142" s="7"/>
      <c r="R142" s="7"/>
      <c r="S142" s="7"/>
    </row>
    <row r="143" customFormat="false" ht="23.85" hidden="false" customHeight="false" outlineLevel="0" collapsed="false">
      <c r="A143" s="7" t="s">
        <v>823</v>
      </c>
      <c r="B143" s="7" t="s">
        <v>24</v>
      </c>
      <c r="C143" s="7" t="s">
        <v>36</v>
      </c>
      <c r="D143" s="7" t="s">
        <v>824</v>
      </c>
      <c r="E143" s="7" t="s">
        <v>44</v>
      </c>
      <c r="F143" s="7" t="s">
        <v>14</v>
      </c>
      <c r="G143" s="7"/>
      <c r="H143" s="7" t="s">
        <v>825</v>
      </c>
      <c r="I143" s="7" t="s">
        <v>826</v>
      </c>
      <c r="J143" s="7" t="s">
        <v>827</v>
      </c>
      <c r="K143" s="7" t="s">
        <v>803</v>
      </c>
      <c r="L143" s="7" t="s">
        <v>828</v>
      </c>
      <c r="M143" s="7" t="s">
        <v>797</v>
      </c>
      <c r="N143" s="7" t="s">
        <v>6</v>
      </c>
      <c r="O143" s="7"/>
      <c r="P143" s="7"/>
      <c r="Q143" s="7"/>
      <c r="R143" s="7"/>
      <c r="S143" s="7"/>
    </row>
    <row r="144" customFormat="false" ht="23.85" hidden="false" customHeight="false" outlineLevel="0" collapsed="false">
      <c r="A144" s="7" t="s">
        <v>829</v>
      </c>
      <c r="B144" s="7" t="s">
        <v>24</v>
      </c>
      <c r="C144" s="7" t="s">
        <v>36</v>
      </c>
      <c r="D144" s="7" t="s">
        <v>830</v>
      </c>
      <c r="E144" s="7" t="s">
        <v>43</v>
      </c>
      <c r="F144" s="7" t="s">
        <v>14</v>
      </c>
      <c r="G144" s="7"/>
      <c r="H144" s="7"/>
      <c r="I144" s="7" t="s">
        <v>831</v>
      </c>
      <c r="J144" s="7" t="s">
        <v>832</v>
      </c>
      <c r="K144" s="7" t="s">
        <v>803</v>
      </c>
      <c r="L144" s="7" t="s">
        <v>673</v>
      </c>
      <c r="M144" s="7" t="s">
        <v>797</v>
      </c>
      <c r="N144" s="7" t="s">
        <v>6</v>
      </c>
      <c r="O144" s="7"/>
      <c r="P144" s="7"/>
      <c r="Q144" s="7"/>
      <c r="R144" s="7"/>
      <c r="S144" s="7"/>
    </row>
    <row r="145" customFormat="false" ht="23.85" hidden="false" customHeight="false" outlineLevel="0" collapsed="false">
      <c r="A145" s="7" t="s">
        <v>833</v>
      </c>
      <c r="B145" s="7" t="s">
        <v>24</v>
      </c>
      <c r="C145" s="7" t="s">
        <v>36</v>
      </c>
      <c r="D145" s="7" t="s">
        <v>834</v>
      </c>
      <c r="E145" s="7" t="s">
        <v>46</v>
      </c>
      <c r="F145" s="7" t="s">
        <v>15</v>
      </c>
      <c r="G145" s="7"/>
      <c r="H145" s="7"/>
      <c r="I145" s="7" t="s">
        <v>835</v>
      </c>
      <c r="J145" s="7" t="s">
        <v>836</v>
      </c>
      <c r="K145" s="7" t="s">
        <v>803</v>
      </c>
      <c r="L145" s="7" t="s">
        <v>673</v>
      </c>
      <c r="M145" s="7" t="s">
        <v>797</v>
      </c>
      <c r="N145" s="7" t="s">
        <v>6</v>
      </c>
      <c r="O145" s="7"/>
      <c r="P145" s="7"/>
      <c r="Q145" s="7"/>
      <c r="R145" s="7"/>
      <c r="S145" s="7"/>
    </row>
    <row r="146" customFormat="false" ht="23.85" hidden="false" customHeight="false" outlineLevel="0" collapsed="false">
      <c r="A146" s="7" t="s">
        <v>837</v>
      </c>
      <c r="B146" s="7" t="s">
        <v>24</v>
      </c>
      <c r="C146" s="7" t="s">
        <v>36</v>
      </c>
      <c r="D146" s="7" t="s">
        <v>838</v>
      </c>
      <c r="E146" s="7" t="s">
        <v>43</v>
      </c>
      <c r="F146" s="7" t="s">
        <v>14</v>
      </c>
      <c r="G146" s="7"/>
      <c r="H146" s="7" t="s">
        <v>839</v>
      </c>
      <c r="I146" s="7" t="s">
        <v>840</v>
      </c>
      <c r="J146" s="7" t="s">
        <v>841</v>
      </c>
      <c r="K146" s="7" t="s">
        <v>803</v>
      </c>
      <c r="L146" s="7" t="s">
        <v>673</v>
      </c>
      <c r="M146" s="7" t="s">
        <v>797</v>
      </c>
      <c r="N146" s="7" t="s">
        <v>6</v>
      </c>
      <c r="O146" s="7"/>
      <c r="P146" s="7"/>
      <c r="Q146" s="7"/>
      <c r="R146" s="7"/>
      <c r="S146" s="7"/>
    </row>
    <row r="147" customFormat="false" ht="23.85" hidden="false" customHeight="false" outlineLevel="0" collapsed="false">
      <c r="A147" s="7" t="s">
        <v>842</v>
      </c>
      <c r="B147" s="7" t="s">
        <v>24</v>
      </c>
      <c r="C147" s="7" t="s">
        <v>36</v>
      </c>
      <c r="D147" s="7" t="s">
        <v>843</v>
      </c>
      <c r="E147" s="7" t="s">
        <v>43</v>
      </c>
      <c r="F147" s="7" t="s">
        <v>16</v>
      </c>
      <c r="G147" s="7"/>
      <c r="H147" s="7"/>
      <c r="I147" s="7" t="s">
        <v>844</v>
      </c>
      <c r="J147" s="7" t="s">
        <v>845</v>
      </c>
      <c r="K147" s="7" t="s">
        <v>803</v>
      </c>
      <c r="L147" s="7"/>
      <c r="M147" s="7" t="s">
        <v>797</v>
      </c>
      <c r="N147" s="7" t="s">
        <v>6</v>
      </c>
      <c r="O147" s="7"/>
      <c r="P147" s="7"/>
      <c r="Q147" s="7"/>
      <c r="R147" s="7"/>
      <c r="S147" s="7"/>
    </row>
    <row r="148" customFormat="false" ht="23.85" hidden="false" customHeight="false" outlineLevel="0" collapsed="false">
      <c r="A148" s="7" t="s">
        <v>846</v>
      </c>
      <c r="B148" s="7" t="s">
        <v>24</v>
      </c>
      <c r="C148" s="7" t="s">
        <v>36</v>
      </c>
      <c r="D148" s="7" t="s">
        <v>847</v>
      </c>
      <c r="E148" s="7" t="s">
        <v>46</v>
      </c>
      <c r="F148" s="7" t="s">
        <v>14</v>
      </c>
      <c r="G148" s="7"/>
      <c r="H148" s="7" t="s">
        <v>848</v>
      </c>
      <c r="I148" s="7" t="s">
        <v>849</v>
      </c>
      <c r="J148" s="7" t="s">
        <v>850</v>
      </c>
      <c r="K148" s="7" t="s">
        <v>851</v>
      </c>
      <c r="L148" s="7"/>
      <c r="M148" s="7" t="s">
        <v>797</v>
      </c>
      <c r="N148" s="7" t="s">
        <v>6</v>
      </c>
      <c r="O148" s="7"/>
      <c r="P148" s="7"/>
      <c r="Q148" s="7"/>
      <c r="R148" s="7"/>
      <c r="S148" s="7"/>
    </row>
    <row r="149" customFormat="false" ht="35.05" hidden="false" customHeight="false" outlineLevel="0" collapsed="false">
      <c r="A149" s="7" t="s">
        <v>852</v>
      </c>
      <c r="B149" s="7" t="s">
        <v>24</v>
      </c>
      <c r="C149" s="7" t="s">
        <v>36</v>
      </c>
      <c r="D149" s="7" t="s">
        <v>853</v>
      </c>
      <c r="E149" s="7" t="s">
        <v>46</v>
      </c>
      <c r="F149" s="7" t="s">
        <v>15</v>
      </c>
      <c r="G149" s="7"/>
      <c r="H149" s="7"/>
      <c r="I149" s="7" t="s">
        <v>854</v>
      </c>
      <c r="J149" s="7" t="s">
        <v>855</v>
      </c>
      <c r="K149" s="7" t="s">
        <v>856</v>
      </c>
      <c r="L149" s="7"/>
      <c r="M149" s="7" t="s">
        <v>797</v>
      </c>
      <c r="N149" s="7" t="s">
        <v>6</v>
      </c>
      <c r="O149" s="7"/>
      <c r="P149" s="7"/>
      <c r="Q149" s="7"/>
      <c r="R149" s="7"/>
      <c r="S149" s="7"/>
    </row>
    <row r="150" customFormat="false" ht="23.85" hidden="false" customHeight="false" outlineLevel="0" collapsed="false">
      <c r="A150" s="7" t="s">
        <v>857</v>
      </c>
      <c r="B150" s="7" t="s">
        <v>24</v>
      </c>
      <c r="C150" s="7" t="s">
        <v>36</v>
      </c>
      <c r="D150" s="7" t="s">
        <v>858</v>
      </c>
      <c r="E150" s="7" t="s">
        <v>42</v>
      </c>
      <c r="F150" s="7" t="s">
        <v>16</v>
      </c>
      <c r="G150" s="7"/>
      <c r="H150" s="7"/>
      <c r="I150" s="7" t="s">
        <v>859</v>
      </c>
      <c r="J150" s="7" t="s">
        <v>860</v>
      </c>
      <c r="K150" s="7" t="s">
        <v>803</v>
      </c>
      <c r="L150" s="7"/>
      <c r="M150" s="7" t="s">
        <v>797</v>
      </c>
      <c r="N150" s="7" t="s">
        <v>6</v>
      </c>
      <c r="O150" s="7"/>
      <c r="P150" s="7"/>
      <c r="Q150" s="7"/>
      <c r="R150" s="7"/>
      <c r="S150" s="7"/>
    </row>
    <row r="151" customFormat="false" ht="15" hidden="false" customHeight="false" outlineLevel="0" collapsed="false">
      <c r="A151" s="7" t="s">
        <v>861</v>
      </c>
      <c r="B151" s="7" t="s">
        <v>24</v>
      </c>
      <c r="C151" s="7" t="s">
        <v>37</v>
      </c>
      <c r="D151" s="7" t="s">
        <v>862</v>
      </c>
      <c r="E151" s="7" t="s">
        <v>43</v>
      </c>
      <c r="F151" s="7" t="s">
        <v>14</v>
      </c>
      <c r="G151" s="7"/>
      <c r="H151" s="7"/>
      <c r="I151" s="7" t="s">
        <v>484</v>
      </c>
      <c r="J151" s="7" t="s">
        <v>485</v>
      </c>
      <c r="K151" s="7" t="s">
        <v>803</v>
      </c>
      <c r="L151" s="7" t="s">
        <v>225</v>
      </c>
      <c r="M151" s="7" t="s">
        <v>863</v>
      </c>
      <c r="N151" s="7" t="s">
        <v>6</v>
      </c>
      <c r="O151" s="7"/>
      <c r="P151" s="7"/>
      <c r="Q151" s="7"/>
      <c r="R151" s="7"/>
      <c r="S151" s="7"/>
    </row>
    <row r="152" customFormat="false" ht="23.85" hidden="false" customHeight="false" outlineLevel="0" collapsed="false">
      <c r="A152" s="7" t="s">
        <v>864</v>
      </c>
      <c r="B152" s="7" t="s">
        <v>24</v>
      </c>
      <c r="C152" s="7" t="s">
        <v>37</v>
      </c>
      <c r="D152" s="7" t="s">
        <v>865</v>
      </c>
      <c r="E152" s="7" t="s">
        <v>43</v>
      </c>
      <c r="F152" s="7" t="s">
        <v>14</v>
      </c>
      <c r="G152" s="7"/>
      <c r="H152" s="7"/>
      <c r="I152" s="7" t="s">
        <v>866</v>
      </c>
      <c r="J152" s="7" t="s">
        <v>867</v>
      </c>
      <c r="K152" s="7" t="s">
        <v>803</v>
      </c>
      <c r="L152" s="7" t="s">
        <v>673</v>
      </c>
      <c r="M152" s="7" t="s">
        <v>863</v>
      </c>
      <c r="N152" s="7" t="s">
        <v>6</v>
      </c>
      <c r="O152" s="7"/>
      <c r="P152" s="7"/>
      <c r="Q152" s="7"/>
      <c r="R152" s="7"/>
      <c r="S152" s="7"/>
    </row>
    <row r="153" customFormat="false" ht="15" hidden="false" customHeight="false" outlineLevel="0" collapsed="false">
      <c r="A153" s="7" t="s">
        <v>868</v>
      </c>
      <c r="B153" s="7" t="s">
        <v>24</v>
      </c>
      <c r="C153" s="7" t="s">
        <v>37</v>
      </c>
      <c r="D153" s="7" t="s">
        <v>869</v>
      </c>
      <c r="E153" s="7" t="s">
        <v>43</v>
      </c>
      <c r="F153" s="7" t="s">
        <v>14</v>
      </c>
      <c r="G153" s="7"/>
      <c r="H153" s="7"/>
      <c r="I153" s="7" t="s">
        <v>870</v>
      </c>
      <c r="J153" s="7" t="s">
        <v>780</v>
      </c>
      <c r="K153" s="7" t="s">
        <v>803</v>
      </c>
      <c r="L153" s="7" t="s">
        <v>673</v>
      </c>
      <c r="M153" s="7" t="s">
        <v>863</v>
      </c>
      <c r="N153" s="7" t="s">
        <v>6</v>
      </c>
      <c r="O153" s="7"/>
      <c r="P153" s="7"/>
      <c r="Q153" s="7"/>
      <c r="R153" s="7"/>
      <c r="S153" s="7"/>
    </row>
    <row r="154" customFormat="false" ht="23.85" hidden="false" customHeight="false" outlineLevel="0" collapsed="false">
      <c r="A154" s="7" t="s">
        <v>871</v>
      </c>
      <c r="B154" s="7" t="s">
        <v>24</v>
      </c>
      <c r="C154" s="7" t="s">
        <v>37</v>
      </c>
      <c r="D154" s="7" t="s">
        <v>872</v>
      </c>
      <c r="E154" s="7" t="s">
        <v>42</v>
      </c>
      <c r="F154" s="7" t="s">
        <v>15</v>
      </c>
      <c r="G154" s="7"/>
      <c r="H154" s="7"/>
      <c r="I154" s="7" t="s">
        <v>873</v>
      </c>
      <c r="J154" s="7" t="s">
        <v>874</v>
      </c>
      <c r="K154" s="7" t="s">
        <v>796</v>
      </c>
      <c r="L154" s="7"/>
      <c r="M154" s="7" t="s">
        <v>863</v>
      </c>
      <c r="N154" s="7" t="s">
        <v>6</v>
      </c>
      <c r="O154" s="7"/>
      <c r="P154" s="7"/>
      <c r="Q154" s="7"/>
      <c r="R154" s="7"/>
      <c r="S154" s="7"/>
    </row>
    <row r="155" customFormat="false" ht="23.85" hidden="false" customHeight="false" outlineLevel="0" collapsed="false">
      <c r="A155" s="7" t="s">
        <v>875</v>
      </c>
      <c r="B155" s="7" t="s">
        <v>25</v>
      </c>
      <c r="C155" s="7" t="s">
        <v>36</v>
      </c>
      <c r="D155" s="7" t="s">
        <v>876</v>
      </c>
      <c r="E155" s="7" t="s">
        <v>42</v>
      </c>
      <c r="F155" s="7" t="s">
        <v>14</v>
      </c>
      <c r="G155" s="7" t="s">
        <v>877</v>
      </c>
      <c r="H155" s="7" t="s">
        <v>878</v>
      </c>
      <c r="I155" s="7" t="s">
        <v>879</v>
      </c>
      <c r="J155" s="7" t="s">
        <v>880</v>
      </c>
      <c r="K155" s="7" t="s">
        <v>881</v>
      </c>
      <c r="L155" s="7"/>
      <c r="M155" s="7" t="s">
        <v>882</v>
      </c>
      <c r="N155" s="7" t="s">
        <v>6</v>
      </c>
      <c r="O155" s="7"/>
      <c r="P155" s="7"/>
      <c r="Q155" s="7"/>
      <c r="R155" s="7"/>
      <c r="S155" s="7"/>
    </row>
    <row r="156" customFormat="false" ht="23.85" hidden="false" customHeight="false" outlineLevel="0" collapsed="false">
      <c r="A156" s="7" t="s">
        <v>883</v>
      </c>
      <c r="B156" s="7" t="s">
        <v>25</v>
      </c>
      <c r="C156" s="7" t="s">
        <v>36</v>
      </c>
      <c r="D156" s="7" t="s">
        <v>884</v>
      </c>
      <c r="E156" s="7" t="s">
        <v>42</v>
      </c>
      <c r="F156" s="7" t="s">
        <v>14</v>
      </c>
      <c r="G156" s="7"/>
      <c r="H156" s="7" t="s">
        <v>885</v>
      </c>
      <c r="I156" s="7" t="s">
        <v>886</v>
      </c>
      <c r="J156" s="7" t="s">
        <v>397</v>
      </c>
      <c r="K156" s="7" t="s">
        <v>881</v>
      </c>
      <c r="L156" s="7"/>
      <c r="M156" s="7" t="s">
        <v>882</v>
      </c>
      <c r="N156" s="7" t="s">
        <v>6</v>
      </c>
      <c r="O156" s="7"/>
      <c r="P156" s="7"/>
      <c r="Q156" s="7"/>
      <c r="R156" s="7"/>
      <c r="S156" s="7"/>
    </row>
    <row r="157" customFormat="false" ht="23.85" hidden="false" customHeight="false" outlineLevel="0" collapsed="false">
      <c r="A157" s="7" t="s">
        <v>887</v>
      </c>
      <c r="B157" s="7" t="s">
        <v>25</v>
      </c>
      <c r="C157" s="7" t="s">
        <v>36</v>
      </c>
      <c r="D157" s="7" t="s">
        <v>888</v>
      </c>
      <c r="E157" s="7" t="s">
        <v>43</v>
      </c>
      <c r="F157" s="7" t="s">
        <v>14</v>
      </c>
      <c r="G157" s="7"/>
      <c r="H157" s="7"/>
      <c r="I157" s="7" t="s">
        <v>889</v>
      </c>
      <c r="J157" s="7" t="s">
        <v>890</v>
      </c>
      <c r="K157" s="7" t="s">
        <v>881</v>
      </c>
      <c r="L157" s="7"/>
      <c r="M157" s="7" t="s">
        <v>882</v>
      </c>
      <c r="N157" s="7" t="s">
        <v>6</v>
      </c>
      <c r="O157" s="7"/>
      <c r="P157" s="7"/>
      <c r="Q157" s="7"/>
      <c r="R157" s="7"/>
      <c r="S157" s="7"/>
    </row>
    <row r="158" customFormat="false" ht="23.85" hidden="false" customHeight="false" outlineLevel="0" collapsed="false">
      <c r="A158" s="7" t="s">
        <v>891</v>
      </c>
      <c r="B158" s="7" t="s">
        <v>25</v>
      </c>
      <c r="C158" s="7" t="s">
        <v>36</v>
      </c>
      <c r="D158" s="7" t="s">
        <v>892</v>
      </c>
      <c r="E158" s="7" t="s">
        <v>43</v>
      </c>
      <c r="F158" s="7" t="s">
        <v>14</v>
      </c>
      <c r="G158" s="7"/>
      <c r="H158" s="7" t="s">
        <v>893</v>
      </c>
      <c r="I158" s="7" t="s">
        <v>894</v>
      </c>
      <c r="J158" s="7" t="s">
        <v>895</v>
      </c>
      <c r="K158" s="7" t="s">
        <v>881</v>
      </c>
      <c r="L158" s="7"/>
      <c r="M158" s="7" t="s">
        <v>882</v>
      </c>
      <c r="N158" s="7" t="s">
        <v>6</v>
      </c>
      <c r="O158" s="7"/>
      <c r="P158" s="7"/>
      <c r="Q158" s="7"/>
      <c r="R158" s="7"/>
      <c r="S158" s="7"/>
    </row>
    <row r="159" customFormat="false" ht="23.85" hidden="false" customHeight="false" outlineLevel="0" collapsed="false">
      <c r="A159" s="7" t="s">
        <v>896</v>
      </c>
      <c r="B159" s="7" t="s">
        <v>25</v>
      </c>
      <c r="C159" s="7" t="s">
        <v>36</v>
      </c>
      <c r="D159" s="7" t="s">
        <v>897</v>
      </c>
      <c r="E159" s="7" t="s">
        <v>43</v>
      </c>
      <c r="F159" s="7" t="s">
        <v>14</v>
      </c>
      <c r="G159" s="7"/>
      <c r="H159" s="7" t="s">
        <v>898</v>
      </c>
      <c r="I159" s="7" t="s">
        <v>894</v>
      </c>
      <c r="J159" s="7" t="s">
        <v>895</v>
      </c>
      <c r="K159" s="7" t="s">
        <v>881</v>
      </c>
      <c r="L159" s="7"/>
      <c r="M159" s="7" t="s">
        <v>882</v>
      </c>
      <c r="N159" s="7" t="s">
        <v>6</v>
      </c>
      <c r="O159" s="7"/>
      <c r="P159" s="7"/>
      <c r="Q159" s="7"/>
      <c r="R159" s="7"/>
      <c r="S159" s="7"/>
    </row>
    <row r="160" customFormat="false" ht="23.85" hidden="false" customHeight="false" outlineLevel="0" collapsed="false">
      <c r="A160" s="7" t="s">
        <v>899</v>
      </c>
      <c r="B160" s="7" t="s">
        <v>25</v>
      </c>
      <c r="C160" s="7" t="s">
        <v>36</v>
      </c>
      <c r="D160" s="7" t="s">
        <v>900</v>
      </c>
      <c r="E160" s="7" t="s">
        <v>44</v>
      </c>
      <c r="F160" s="7" t="s">
        <v>14</v>
      </c>
      <c r="G160" s="7"/>
      <c r="H160" s="7" t="s">
        <v>901</v>
      </c>
      <c r="I160" s="7" t="s">
        <v>902</v>
      </c>
      <c r="J160" s="7" t="s">
        <v>903</v>
      </c>
      <c r="K160" s="7" t="s">
        <v>881</v>
      </c>
      <c r="L160" s="7" t="s">
        <v>904</v>
      </c>
      <c r="M160" s="7" t="s">
        <v>882</v>
      </c>
      <c r="N160" s="7" t="s">
        <v>6</v>
      </c>
      <c r="O160" s="7"/>
      <c r="P160" s="7"/>
      <c r="Q160" s="7"/>
      <c r="R160" s="7"/>
      <c r="S160" s="7"/>
    </row>
    <row r="161" customFormat="false" ht="23.85" hidden="false" customHeight="false" outlineLevel="0" collapsed="false">
      <c r="A161" s="7" t="s">
        <v>905</v>
      </c>
      <c r="B161" s="7" t="s">
        <v>25</v>
      </c>
      <c r="C161" s="7" t="s">
        <v>36</v>
      </c>
      <c r="D161" s="7" t="s">
        <v>906</v>
      </c>
      <c r="E161" s="7" t="s">
        <v>43</v>
      </c>
      <c r="F161" s="7" t="s">
        <v>15</v>
      </c>
      <c r="G161" s="7"/>
      <c r="H161" s="7" t="s">
        <v>907</v>
      </c>
      <c r="I161" s="7" t="s">
        <v>527</v>
      </c>
      <c r="J161" s="7" t="s">
        <v>780</v>
      </c>
      <c r="K161" s="7" t="s">
        <v>881</v>
      </c>
      <c r="L161" s="7"/>
      <c r="M161" s="7" t="s">
        <v>882</v>
      </c>
      <c r="N161" s="7" t="s">
        <v>6</v>
      </c>
      <c r="O161" s="7"/>
      <c r="P161" s="7"/>
      <c r="Q161" s="7"/>
      <c r="R161" s="7"/>
      <c r="S161" s="7"/>
    </row>
    <row r="162" customFormat="false" ht="23.85" hidden="false" customHeight="false" outlineLevel="0" collapsed="false">
      <c r="A162" s="7" t="s">
        <v>908</v>
      </c>
      <c r="B162" s="7" t="s">
        <v>25</v>
      </c>
      <c r="C162" s="7" t="s">
        <v>36</v>
      </c>
      <c r="D162" s="7" t="s">
        <v>909</v>
      </c>
      <c r="E162" s="7" t="s">
        <v>43</v>
      </c>
      <c r="F162" s="7" t="s">
        <v>14</v>
      </c>
      <c r="G162" s="7"/>
      <c r="H162" s="7" t="s">
        <v>910</v>
      </c>
      <c r="I162" s="7" t="s">
        <v>911</v>
      </c>
      <c r="J162" s="7" t="s">
        <v>912</v>
      </c>
      <c r="K162" s="7" t="s">
        <v>881</v>
      </c>
      <c r="L162" s="7" t="s">
        <v>913</v>
      </c>
      <c r="M162" s="7" t="s">
        <v>882</v>
      </c>
      <c r="N162" s="7" t="s">
        <v>6</v>
      </c>
      <c r="O162" s="7"/>
      <c r="P162" s="7"/>
      <c r="Q162" s="7"/>
      <c r="R162" s="7"/>
      <c r="S162" s="7"/>
    </row>
    <row r="163" customFormat="false" ht="23.85" hidden="false" customHeight="false" outlineLevel="0" collapsed="false">
      <c r="A163" s="7" t="s">
        <v>914</v>
      </c>
      <c r="B163" s="7" t="s">
        <v>25</v>
      </c>
      <c r="C163" s="7" t="s">
        <v>36</v>
      </c>
      <c r="D163" s="7" t="s">
        <v>915</v>
      </c>
      <c r="E163" s="7" t="s">
        <v>42</v>
      </c>
      <c r="F163" s="7" t="s">
        <v>14</v>
      </c>
      <c r="G163" s="7"/>
      <c r="H163" s="7" t="s">
        <v>916</v>
      </c>
      <c r="I163" s="7" t="s">
        <v>917</v>
      </c>
      <c r="J163" s="7" t="s">
        <v>918</v>
      </c>
      <c r="K163" s="7" t="s">
        <v>881</v>
      </c>
      <c r="L163" s="7"/>
      <c r="M163" s="7" t="s">
        <v>882</v>
      </c>
      <c r="N163" s="7" t="s">
        <v>6</v>
      </c>
      <c r="O163" s="7"/>
      <c r="P163" s="7"/>
      <c r="Q163" s="7"/>
      <c r="R163" s="7"/>
      <c r="S163" s="7"/>
    </row>
    <row r="164" customFormat="false" ht="23.85" hidden="false" customHeight="false" outlineLevel="0" collapsed="false">
      <c r="A164" s="7" t="s">
        <v>919</v>
      </c>
      <c r="B164" s="7" t="s">
        <v>25</v>
      </c>
      <c r="C164" s="7" t="s">
        <v>36</v>
      </c>
      <c r="D164" s="7" t="s">
        <v>920</v>
      </c>
      <c r="E164" s="7" t="s">
        <v>42</v>
      </c>
      <c r="F164" s="7" t="s">
        <v>16</v>
      </c>
      <c r="G164" s="7"/>
      <c r="H164" s="7" t="s">
        <v>921</v>
      </c>
      <c r="I164" s="7" t="s">
        <v>922</v>
      </c>
      <c r="J164" s="7" t="s">
        <v>923</v>
      </c>
      <c r="K164" s="7" t="s">
        <v>881</v>
      </c>
      <c r="L164" s="7"/>
      <c r="M164" s="7" t="s">
        <v>882</v>
      </c>
      <c r="N164" s="7" t="s">
        <v>6</v>
      </c>
      <c r="O164" s="7"/>
      <c r="P164" s="7"/>
      <c r="Q164" s="7"/>
      <c r="R164" s="7"/>
      <c r="S164" s="7"/>
    </row>
    <row r="165" customFormat="false" ht="23.85" hidden="false" customHeight="false" outlineLevel="0" collapsed="false">
      <c r="A165" s="7" t="s">
        <v>924</v>
      </c>
      <c r="B165" s="7" t="s">
        <v>25</v>
      </c>
      <c r="C165" s="7" t="s">
        <v>36</v>
      </c>
      <c r="D165" s="7" t="s">
        <v>925</v>
      </c>
      <c r="E165" s="7" t="s">
        <v>44</v>
      </c>
      <c r="F165" s="7" t="s">
        <v>15</v>
      </c>
      <c r="G165" s="7"/>
      <c r="H165" s="7" t="s">
        <v>926</v>
      </c>
      <c r="I165" s="7" t="s">
        <v>927</v>
      </c>
      <c r="J165" s="7" t="s">
        <v>928</v>
      </c>
      <c r="K165" s="7" t="s">
        <v>881</v>
      </c>
      <c r="L165" s="7"/>
      <c r="M165" s="7" t="s">
        <v>882</v>
      </c>
      <c r="N165" s="7" t="s">
        <v>6</v>
      </c>
      <c r="O165" s="7"/>
      <c r="P165" s="7"/>
      <c r="Q165" s="7"/>
      <c r="R165" s="7"/>
      <c r="S165" s="7"/>
    </row>
    <row r="166" customFormat="false" ht="23.85" hidden="false" customHeight="false" outlineLevel="0" collapsed="false">
      <c r="A166" s="7" t="s">
        <v>929</v>
      </c>
      <c r="B166" s="7" t="s">
        <v>25</v>
      </c>
      <c r="C166" s="7" t="s">
        <v>36</v>
      </c>
      <c r="D166" s="7" t="s">
        <v>930</v>
      </c>
      <c r="E166" s="7" t="s">
        <v>43</v>
      </c>
      <c r="F166" s="7" t="s">
        <v>15</v>
      </c>
      <c r="G166" s="7"/>
      <c r="H166" s="7" t="s">
        <v>931</v>
      </c>
      <c r="I166" s="7" t="s">
        <v>932</v>
      </c>
      <c r="J166" s="7" t="s">
        <v>780</v>
      </c>
      <c r="K166" s="7" t="s">
        <v>881</v>
      </c>
      <c r="L166" s="7"/>
      <c r="M166" s="7" t="s">
        <v>882</v>
      </c>
      <c r="N166" s="7" t="s">
        <v>6</v>
      </c>
      <c r="O166" s="7"/>
      <c r="P166" s="7"/>
      <c r="Q166" s="7"/>
      <c r="R166" s="7"/>
      <c r="S166" s="7"/>
    </row>
    <row r="167" customFormat="false" ht="23.85" hidden="false" customHeight="false" outlineLevel="0" collapsed="false">
      <c r="A167" s="7" t="s">
        <v>933</v>
      </c>
      <c r="B167" s="7" t="s">
        <v>25</v>
      </c>
      <c r="C167" s="7" t="s">
        <v>36</v>
      </c>
      <c r="D167" s="7" t="s">
        <v>934</v>
      </c>
      <c r="E167" s="7" t="s">
        <v>43</v>
      </c>
      <c r="F167" s="7" t="s">
        <v>14</v>
      </c>
      <c r="G167" s="7"/>
      <c r="H167" s="7" t="s">
        <v>935</v>
      </c>
      <c r="I167" s="7" t="s">
        <v>936</v>
      </c>
      <c r="J167" s="7" t="s">
        <v>937</v>
      </c>
      <c r="K167" s="7" t="s">
        <v>881</v>
      </c>
      <c r="L167" s="7" t="s">
        <v>938</v>
      </c>
      <c r="M167" s="7" t="s">
        <v>882</v>
      </c>
      <c r="N167" s="7" t="s">
        <v>6</v>
      </c>
      <c r="O167" s="7"/>
      <c r="P167" s="7"/>
      <c r="Q167" s="7"/>
      <c r="R167" s="7"/>
      <c r="S167" s="7"/>
    </row>
    <row r="168" customFormat="false" ht="23.85" hidden="false" customHeight="false" outlineLevel="0" collapsed="false">
      <c r="A168" s="7" t="s">
        <v>939</v>
      </c>
      <c r="B168" s="7" t="s">
        <v>25</v>
      </c>
      <c r="C168" s="7" t="s">
        <v>36</v>
      </c>
      <c r="D168" s="7" t="s">
        <v>940</v>
      </c>
      <c r="E168" s="7" t="s">
        <v>46</v>
      </c>
      <c r="F168" s="7" t="s">
        <v>14</v>
      </c>
      <c r="G168" s="7" t="s">
        <v>941</v>
      </c>
      <c r="H168" s="7"/>
      <c r="I168" s="7" t="s">
        <v>942</v>
      </c>
      <c r="J168" s="7" t="s">
        <v>943</v>
      </c>
      <c r="K168" s="7" t="s">
        <v>881</v>
      </c>
      <c r="L168" s="7"/>
      <c r="M168" s="7" t="s">
        <v>882</v>
      </c>
      <c r="N168" s="7" t="s">
        <v>6</v>
      </c>
      <c r="O168" s="7"/>
      <c r="P168" s="7"/>
      <c r="Q168" s="7"/>
      <c r="R168" s="7"/>
      <c r="S168" s="7"/>
    </row>
    <row r="169" customFormat="false" ht="23.85" hidden="false" customHeight="false" outlineLevel="0" collapsed="false">
      <c r="A169" s="7" t="s">
        <v>944</v>
      </c>
      <c r="B169" s="7" t="s">
        <v>25</v>
      </c>
      <c r="C169" s="7" t="s">
        <v>36</v>
      </c>
      <c r="D169" s="7" t="s">
        <v>945</v>
      </c>
      <c r="E169" s="7" t="s">
        <v>42</v>
      </c>
      <c r="F169" s="7" t="s">
        <v>15</v>
      </c>
      <c r="G169" s="7"/>
      <c r="H169" s="7"/>
      <c r="I169" s="7" t="s">
        <v>946</v>
      </c>
      <c r="J169" s="7" t="s">
        <v>947</v>
      </c>
      <c r="K169" s="7" t="s">
        <v>881</v>
      </c>
      <c r="L169" s="7"/>
      <c r="M169" s="7" t="s">
        <v>882</v>
      </c>
      <c r="N169" s="7" t="s">
        <v>6</v>
      </c>
      <c r="O169" s="7"/>
      <c r="P169" s="7"/>
      <c r="Q169" s="7"/>
      <c r="R169" s="7"/>
      <c r="S169" s="7"/>
    </row>
    <row r="170" customFormat="false" ht="23.85" hidden="false" customHeight="false" outlineLevel="0" collapsed="false">
      <c r="A170" s="7" t="s">
        <v>948</v>
      </c>
      <c r="B170" s="7" t="s">
        <v>25</v>
      </c>
      <c r="C170" s="7" t="s">
        <v>36</v>
      </c>
      <c r="D170" s="7" t="s">
        <v>949</v>
      </c>
      <c r="E170" s="7" t="s">
        <v>43</v>
      </c>
      <c r="F170" s="7" t="s">
        <v>15</v>
      </c>
      <c r="G170" s="7"/>
      <c r="H170" s="7" t="s">
        <v>950</v>
      </c>
      <c r="I170" s="7" t="s">
        <v>951</v>
      </c>
      <c r="J170" s="7" t="s">
        <v>952</v>
      </c>
      <c r="K170" s="7" t="s">
        <v>881</v>
      </c>
      <c r="L170" s="7"/>
      <c r="M170" s="7" t="s">
        <v>882</v>
      </c>
      <c r="N170" s="7" t="s">
        <v>6</v>
      </c>
      <c r="O170" s="7"/>
      <c r="P170" s="7"/>
      <c r="Q170" s="7"/>
      <c r="R170" s="7"/>
      <c r="S170" s="7"/>
    </row>
    <row r="171" customFormat="false" ht="23.85" hidden="false" customHeight="false" outlineLevel="0" collapsed="false">
      <c r="A171" s="7" t="s">
        <v>953</v>
      </c>
      <c r="B171" s="7" t="s">
        <v>25</v>
      </c>
      <c r="C171" s="7" t="s">
        <v>36</v>
      </c>
      <c r="D171" s="7" t="s">
        <v>954</v>
      </c>
      <c r="E171" s="7" t="s">
        <v>42</v>
      </c>
      <c r="F171" s="7" t="s">
        <v>15</v>
      </c>
      <c r="G171" s="7"/>
      <c r="H171" s="7" t="s">
        <v>955</v>
      </c>
      <c r="I171" s="7" t="s">
        <v>956</v>
      </c>
      <c r="J171" s="7" t="s">
        <v>957</v>
      </c>
      <c r="K171" s="7" t="s">
        <v>881</v>
      </c>
      <c r="L171" s="7" t="s">
        <v>958</v>
      </c>
      <c r="M171" s="7" t="s">
        <v>882</v>
      </c>
      <c r="N171" s="7" t="s">
        <v>6</v>
      </c>
      <c r="O171" s="7"/>
      <c r="P171" s="7"/>
      <c r="Q171" s="7"/>
      <c r="R171" s="7"/>
      <c r="S171" s="7"/>
    </row>
    <row r="172" customFormat="false" ht="23.85" hidden="false" customHeight="false" outlineLevel="0" collapsed="false">
      <c r="A172" s="7" t="s">
        <v>959</v>
      </c>
      <c r="B172" s="7" t="s">
        <v>25</v>
      </c>
      <c r="C172" s="7" t="s">
        <v>36</v>
      </c>
      <c r="D172" s="7" t="s">
        <v>960</v>
      </c>
      <c r="E172" s="7" t="s">
        <v>42</v>
      </c>
      <c r="F172" s="7" t="s">
        <v>16</v>
      </c>
      <c r="G172" s="7"/>
      <c r="H172" s="7"/>
      <c r="I172" s="7" t="s">
        <v>961</v>
      </c>
      <c r="J172" s="7" t="s">
        <v>962</v>
      </c>
      <c r="K172" s="7" t="s">
        <v>881</v>
      </c>
      <c r="L172" s="7" t="s">
        <v>963</v>
      </c>
      <c r="M172" s="7" t="s">
        <v>882</v>
      </c>
      <c r="N172" s="7" t="s">
        <v>6</v>
      </c>
      <c r="O172" s="7"/>
      <c r="P172" s="7"/>
      <c r="Q172" s="7"/>
      <c r="R172" s="7"/>
      <c r="S172" s="7"/>
    </row>
    <row r="173" customFormat="false" ht="23.85" hidden="false" customHeight="false" outlineLevel="0" collapsed="false">
      <c r="A173" s="7" t="s">
        <v>964</v>
      </c>
      <c r="B173" s="7" t="s">
        <v>25</v>
      </c>
      <c r="C173" s="7" t="s">
        <v>36</v>
      </c>
      <c r="D173" s="7" t="s">
        <v>965</v>
      </c>
      <c r="E173" s="7" t="s">
        <v>46</v>
      </c>
      <c r="F173" s="7" t="s">
        <v>15</v>
      </c>
      <c r="G173" s="7"/>
      <c r="H173" s="7"/>
      <c r="I173" s="7" t="s">
        <v>681</v>
      </c>
      <c r="J173" s="7" t="s">
        <v>966</v>
      </c>
      <c r="K173" s="7" t="s">
        <v>967</v>
      </c>
      <c r="L173" s="7"/>
      <c r="M173" s="7" t="s">
        <v>882</v>
      </c>
      <c r="N173" s="7" t="s">
        <v>6</v>
      </c>
      <c r="O173" s="7"/>
      <c r="P173" s="7"/>
      <c r="Q173" s="7"/>
      <c r="R173" s="7"/>
      <c r="S173" s="7"/>
    </row>
    <row r="174" customFormat="false" ht="23.85" hidden="false" customHeight="false" outlineLevel="0" collapsed="false">
      <c r="A174" s="7" t="s">
        <v>968</v>
      </c>
      <c r="B174" s="7" t="s">
        <v>25</v>
      </c>
      <c r="C174" s="7" t="s">
        <v>36</v>
      </c>
      <c r="D174" s="7" t="s">
        <v>969</v>
      </c>
      <c r="E174" s="7" t="s">
        <v>44</v>
      </c>
      <c r="F174" s="7" t="s">
        <v>16</v>
      </c>
      <c r="G174" s="7"/>
      <c r="H174" s="7"/>
      <c r="I174" s="7" t="s">
        <v>970</v>
      </c>
      <c r="J174" s="7" t="s">
        <v>971</v>
      </c>
      <c r="K174" s="7" t="s">
        <v>881</v>
      </c>
      <c r="L174" s="7" t="s">
        <v>972</v>
      </c>
      <c r="M174" s="7" t="s">
        <v>882</v>
      </c>
      <c r="N174" s="7" t="s">
        <v>6</v>
      </c>
      <c r="O174" s="7"/>
      <c r="P174" s="7"/>
      <c r="Q174" s="7"/>
      <c r="R174" s="7"/>
      <c r="S174" s="7"/>
    </row>
    <row r="175" customFormat="false" ht="15" hidden="false" customHeight="false" outlineLevel="0" collapsed="false">
      <c r="A175" s="7" t="s">
        <v>973</v>
      </c>
      <c r="B175" s="7" t="s">
        <v>25</v>
      </c>
      <c r="C175" s="7" t="s">
        <v>37</v>
      </c>
      <c r="D175" s="7" t="s">
        <v>974</v>
      </c>
      <c r="E175" s="7" t="s">
        <v>43</v>
      </c>
      <c r="F175" s="7" t="s">
        <v>14</v>
      </c>
      <c r="G175" s="7"/>
      <c r="H175" s="7" t="s">
        <v>975</v>
      </c>
      <c r="I175" s="7" t="s">
        <v>484</v>
      </c>
      <c r="J175" s="7" t="s">
        <v>976</v>
      </c>
      <c r="K175" s="7" t="s">
        <v>881</v>
      </c>
      <c r="L175" s="7" t="s">
        <v>225</v>
      </c>
      <c r="M175" s="7" t="s">
        <v>977</v>
      </c>
      <c r="N175" s="7" t="s">
        <v>6</v>
      </c>
      <c r="O175" s="7"/>
      <c r="P175" s="7"/>
      <c r="Q175" s="7"/>
      <c r="R175" s="7"/>
      <c r="S175" s="7"/>
    </row>
    <row r="176" customFormat="false" ht="15" hidden="false" customHeight="false" outlineLevel="0" collapsed="false">
      <c r="A176" s="7" t="s">
        <v>978</v>
      </c>
      <c r="B176" s="7" t="s">
        <v>25</v>
      </c>
      <c r="C176" s="7" t="s">
        <v>37</v>
      </c>
      <c r="D176" s="7" t="s">
        <v>979</v>
      </c>
      <c r="E176" s="7" t="s">
        <v>43</v>
      </c>
      <c r="F176" s="7" t="s">
        <v>14</v>
      </c>
      <c r="G176" s="7"/>
      <c r="H176" s="7"/>
      <c r="I176" s="7" t="s">
        <v>484</v>
      </c>
      <c r="J176" s="7" t="s">
        <v>485</v>
      </c>
      <c r="K176" s="7" t="s">
        <v>881</v>
      </c>
      <c r="L176" s="7"/>
      <c r="M176" s="7" t="s">
        <v>977</v>
      </c>
      <c r="N176" s="7" t="s">
        <v>6</v>
      </c>
      <c r="O176" s="7"/>
      <c r="P176" s="7"/>
      <c r="Q176" s="7"/>
      <c r="R176" s="7"/>
      <c r="S176" s="7"/>
    </row>
    <row r="177" customFormat="false" ht="15" hidden="false" customHeight="false" outlineLevel="0" collapsed="false">
      <c r="A177" s="7" t="s">
        <v>980</v>
      </c>
      <c r="B177" s="7" t="s">
        <v>25</v>
      </c>
      <c r="C177" s="7" t="s">
        <v>37</v>
      </c>
      <c r="D177" s="7" t="s">
        <v>981</v>
      </c>
      <c r="E177" s="7" t="s">
        <v>43</v>
      </c>
      <c r="F177" s="7" t="s">
        <v>14</v>
      </c>
      <c r="G177" s="7"/>
      <c r="H177" s="7"/>
      <c r="I177" s="7" t="s">
        <v>982</v>
      </c>
      <c r="J177" s="7" t="s">
        <v>983</v>
      </c>
      <c r="K177" s="7" t="s">
        <v>881</v>
      </c>
      <c r="L177" s="7"/>
      <c r="M177" s="7" t="s">
        <v>977</v>
      </c>
      <c r="N177" s="7" t="s">
        <v>6</v>
      </c>
      <c r="O177" s="7"/>
      <c r="P177" s="7"/>
      <c r="Q177" s="7"/>
      <c r="R177" s="7"/>
      <c r="S177" s="7"/>
    </row>
    <row r="178" customFormat="false" ht="15" hidden="false" customHeight="false" outlineLevel="0" collapsed="false">
      <c r="A178" s="7" t="s">
        <v>984</v>
      </c>
      <c r="B178" s="7" t="s">
        <v>25</v>
      </c>
      <c r="C178" s="7" t="s">
        <v>37</v>
      </c>
      <c r="D178" s="7" t="s">
        <v>985</v>
      </c>
      <c r="E178" s="7" t="s">
        <v>42</v>
      </c>
      <c r="F178" s="7" t="s">
        <v>15</v>
      </c>
      <c r="G178" s="7"/>
      <c r="H178" s="7" t="s">
        <v>986</v>
      </c>
      <c r="I178" s="7" t="s">
        <v>699</v>
      </c>
      <c r="J178" s="7" t="s">
        <v>987</v>
      </c>
      <c r="K178" s="7" t="s">
        <v>881</v>
      </c>
      <c r="L178" s="7"/>
      <c r="M178" s="7" t="s">
        <v>977</v>
      </c>
      <c r="N178" s="7" t="s">
        <v>6</v>
      </c>
      <c r="O178" s="7"/>
      <c r="P178" s="7"/>
      <c r="Q178" s="7"/>
      <c r="R178" s="7"/>
      <c r="S178" s="7"/>
    </row>
    <row r="179" customFormat="false" ht="23.85" hidden="false" customHeight="false" outlineLevel="0" collapsed="false">
      <c r="A179" s="7" t="s">
        <v>988</v>
      </c>
      <c r="B179" s="7" t="s">
        <v>25</v>
      </c>
      <c r="C179" s="7" t="s">
        <v>37</v>
      </c>
      <c r="D179" s="7" t="s">
        <v>989</v>
      </c>
      <c r="E179" s="7" t="s">
        <v>46</v>
      </c>
      <c r="F179" s="7" t="s">
        <v>14</v>
      </c>
      <c r="G179" s="7"/>
      <c r="H179" s="7"/>
      <c r="I179" s="7" t="s">
        <v>990</v>
      </c>
      <c r="J179" s="7" t="s">
        <v>991</v>
      </c>
      <c r="K179" s="7" t="s">
        <v>881</v>
      </c>
      <c r="L179" s="7"/>
      <c r="M179" s="7" t="s">
        <v>977</v>
      </c>
      <c r="N179" s="7" t="s">
        <v>6</v>
      </c>
      <c r="O179" s="7"/>
      <c r="P179" s="7"/>
      <c r="Q179" s="7"/>
      <c r="R179" s="7"/>
      <c r="S179" s="7"/>
    </row>
    <row r="180" customFormat="false" ht="23.85" hidden="false" customHeight="false" outlineLevel="0" collapsed="false">
      <c r="A180" s="7" t="s">
        <v>992</v>
      </c>
      <c r="B180" s="7" t="s">
        <v>26</v>
      </c>
      <c r="C180" s="7" t="s">
        <v>36</v>
      </c>
      <c r="D180" s="7" t="s">
        <v>993</v>
      </c>
      <c r="E180" s="7" t="s">
        <v>42</v>
      </c>
      <c r="F180" s="7" t="s">
        <v>15</v>
      </c>
      <c r="G180" s="7" t="s">
        <v>994</v>
      </c>
      <c r="H180" s="7"/>
      <c r="I180" s="7" t="s">
        <v>995</v>
      </c>
      <c r="J180" s="7" t="s">
        <v>996</v>
      </c>
      <c r="K180" s="7" t="s">
        <v>997</v>
      </c>
      <c r="L180" s="7" t="s">
        <v>998</v>
      </c>
      <c r="M180" s="7" t="s">
        <v>999</v>
      </c>
      <c r="N180" s="7" t="s">
        <v>6</v>
      </c>
      <c r="O180" s="7"/>
      <c r="P180" s="7"/>
      <c r="Q180" s="7"/>
      <c r="R180" s="7"/>
      <c r="S180" s="7"/>
    </row>
    <row r="181" customFormat="false" ht="23.85" hidden="false" customHeight="false" outlineLevel="0" collapsed="false">
      <c r="A181" s="7" t="s">
        <v>1000</v>
      </c>
      <c r="B181" s="7" t="s">
        <v>26</v>
      </c>
      <c r="C181" s="7" t="s">
        <v>36</v>
      </c>
      <c r="D181" s="7" t="s">
        <v>1001</v>
      </c>
      <c r="E181" s="7" t="s">
        <v>42</v>
      </c>
      <c r="F181" s="7" t="s">
        <v>14</v>
      </c>
      <c r="G181" s="7"/>
      <c r="H181" s="7" t="s">
        <v>1002</v>
      </c>
      <c r="I181" s="7" t="s">
        <v>1003</v>
      </c>
      <c r="J181" s="7" t="s">
        <v>1004</v>
      </c>
      <c r="K181" s="7" t="s">
        <v>997</v>
      </c>
      <c r="L181" s="7"/>
      <c r="M181" s="7" t="s">
        <v>999</v>
      </c>
      <c r="N181" s="7" t="s">
        <v>6</v>
      </c>
      <c r="O181" s="7"/>
      <c r="P181" s="7"/>
      <c r="Q181" s="7"/>
      <c r="R181" s="7"/>
      <c r="S181" s="7"/>
    </row>
    <row r="182" customFormat="false" ht="23.85" hidden="false" customHeight="false" outlineLevel="0" collapsed="false">
      <c r="A182" s="7" t="s">
        <v>1005</v>
      </c>
      <c r="B182" s="7" t="s">
        <v>26</v>
      </c>
      <c r="C182" s="7" t="s">
        <v>36</v>
      </c>
      <c r="D182" s="7" t="s">
        <v>1006</v>
      </c>
      <c r="E182" s="7" t="s">
        <v>42</v>
      </c>
      <c r="F182" s="7" t="s">
        <v>15</v>
      </c>
      <c r="G182" s="7"/>
      <c r="H182" s="7" t="s">
        <v>1007</v>
      </c>
      <c r="I182" s="7" t="s">
        <v>1008</v>
      </c>
      <c r="J182" s="7" t="s">
        <v>397</v>
      </c>
      <c r="K182" s="7" t="s">
        <v>997</v>
      </c>
      <c r="L182" s="7"/>
      <c r="M182" s="7" t="s">
        <v>999</v>
      </c>
      <c r="N182" s="7" t="s">
        <v>6</v>
      </c>
      <c r="O182" s="7"/>
      <c r="P182" s="7"/>
      <c r="Q182" s="7"/>
      <c r="R182" s="7"/>
      <c r="S182" s="7"/>
    </row>
    <row r="183" customFormat="false" ht="23.85" hidden="false" customHeight="false" outlineLevel="0" collapsed="false">
      <c r="A183" s="7" t="s">
        <v>1009</v>
      </c>
      <c r="B183" s="7" t="s">
        <v>26</v>
      </c>
      <c r="C183" s="7" t="s">
        <v>36</v>
      </c>
      <c r="D183" s="7" t="s">
        <v>1010</v>
      </c>
      <c r="E183" s="7" t="s">
        <v>43</v>
      </c>
      <c r="F183" s="7" t="s">
        <v>14</v>
      </c>
      <c r="G183" s="7"/>
      <c r="H183" s="7" t="s">
        <v>1011</v>
      </c>
      <c r="I183" s="7" t="s">
        <v>1008</v>
      </c>
      <c r="J183" s="7" t="s">
        <v>1012</v>
      </c>
      <c r="K183" s="7" t="s">
        <v>997</v>
      </c>
      <c r="L183" s="7"/>
      <c r="M183" s="7" t="s">
        <v>999</v>
      </c>
      <c r="N183" s="7" t="s">
        <v>6</v>
      </c>
      <c r="O183" s="7"/>
      <c r="P183" s="7"/>
      <c r="Q183" s="7"/>
      <c r="R183" s="7"/>
      <c r="S183" s="7"/>
    </row>
    <row r="184" customFormat="false" ht="23.85" hidden="false" customHeight="false" outlineLevel="0" collapsed="false">
      <c r="A184" s="7" t="s">
        <v>1013</v>
      </c>
      <c r="B184" s="7" t="s">
        <v>26</v>
      </c>
      <c r="C184" s="7" t="s">
        <v>36</v>
      </c>
      <c r="D184" s="7" t="s">
        <v>1014</v>
      </c>
      <c r="E184" s="7" t="s">
        <v>45</v>
      </c>
      <c r="F184" s="7" t="s">
        <v>15</v>
      </c>
      <c r="G184" s="7"/>
      <c r="H184" s="7" t="s">
        <v>1015</v>
      </c>
      <c r="I184" s="7" t="s">
        <v>1003</v>
      </c>
      <c r="J184" s="7" t="s">
        <v>1016</v>
      </c>
      <c r="K184" s="7" t="s">
        <v>997</v>
      </c>
      <c r="L184" s="7" t="s">
        <v>1017</v>
      </c>
      <c r="M184" s="7" t="s">
        <v>999</v>
      </c>
      <c r="N184" s="7" t="s">
        <v>6</v>
      </c>
      <c r="O184" s="7"/>
      <c r="P184" s="7"/>
      <c r="Q184" s="7"/>
      <c r="R184" s="7"/>
      <c r="S184" s="7"/>
    </row>
    <row r="185" customFormat="false" ht="23.85" hidden="false" customHeight="false" outlineLevel="0" collapsed="false">
      <c r="A185" s="7" t="s">
        <v>1018</v>
      </c>
      <c r="B185" s="7" t="s">
        <v>26</v>
      </c>
      <c r="C185" s="7" t="s">
        <v>36</v>
      </c>
      <c r="D185" s="7" t="s">
        <v>1019</v>
      </c>
      <c r="E185" s="7" t="s">
        <v>44</v>
      </c>
      <c r="F185" s="7" t="s">
        <v>14</v>
      </c>
      <c r="G185" s="7"/>
      <c r="H185" s="7" t="s">
        <v>1020</v>
      </c>
      <c r="I185" s="7" t="s">
        <v>1003</v>
      </c>
      <c r="J185" s="7" t="s">
        <v>397</v>
      </c>
      <c r="K185" s="7" t="s">
        <v>997</v>
      </c>
      <c r="L185" s="7" t="s">
        <v>1021</v>
      </c>
      <c r="M185" s="7" t="s">
        <v>999</v>
      </c>
      <c r="N185" s="7" t="s">
        <v>6</v>
      </c>
      <c r="O185" s="7"/>
      <c r="P185" s="7"/>
      <c r="Q185" s="7"/>
      <c r="R185" s="7"/>
      <c r="S185" s="7"/>
    </row>
    <row r="186" customFormat="false" ht="23.85" hidden="false" customHeight="false" outlineLevel="0" collapsed="false">
      <c r="A186" s="7" t="s">
        <v>1022</v>
      </c>
      <c r="B186" s="7" t="s">
        <v>26</v>
      </c>
      <c r="C186" s="7" t="s">
        <v>36</v>
      </c>
      <c r="D186" s="7" t="s">
        <v>1023</v>
      </c>
      <c r="E186" s="7" t="s">
        <v>44</v>
      </c>
      <c r="F186" s="7" t="s">
        <v>14</v>
      </c>
      <c r="G186" s="7"/>
      <c r="H186" s="7" t="s">
        <v>1024</v>
      </c>
      <c r="I186" s="7" t="s">
        <v>1003</v>
      </c>
      <c r="J186" s="7" t="s">
        <v>1025</v>
      </c>
      <c r="K186" s="7" t="s">
        <v>997</v>
      </c>
      <c r="L186" s="7" t="s">
        <v>331</v>
      </c>
      <c r="M186" s="7" t="s">
        <v>999</v>
      </c>
      <c r="N186" s="7" t="s">
        <v>6</v>
      </c>
      <c r="O186" s="7"/>
      <c r="P186" s="7"/>
      <c r="Q186" s="7"/>
      <c r="R186" s="7"/>
      <c r="S186" s="7"/>
    </row>
    <row r="187" customFormat="false" ht="23.85" hidden="false" customHeight="false" outlineLevel="0" collapsed="false">
      <c r="A187" s="7" t="s">
        <v>1026</v>
      </c>
      <c r="B187" s="7" t="s">
        <v>26</v>
      </c>
      <c r="C187" s="7" t="s">
        <v>36</v>
      </c>
      <c r="D187" s="7" t="s">
        <v>1027</v>
      </c>
      <c r="E187" s="7" t="s">
        <v>43</v>
      </c>
      <c r="F187" s="7" t="s">
        <v>15</v>
      </c>
      <c r="G187" s="7"/>
      <c r="H187" s="7" t="s">
        <v>1028</v>
      </c>
      <c r="I187" s="7" t="s">
        <v>1003</v>
      </c>
      <c r="J187" s="7" t="s">
        <v>780</v>
      </c>
      <c r="K187" s="7" t="s">
        <v>997</v>
      </c>
      <c r="L187" s="7"/>
      <c r="M187" s="7" t="s">
        <v>999</v>
      </c>
      <c r="N187" s="7" t="s">
        <v>6</v>
      </c>
      <c r="O187" s="7"/>
      <c r="P187" s="7"/>
      <c r="Q187" s="7"/>
      <c r="R187" s="7"/>
      <c r="S187" s="7"/>
    </row>
    <row r="188" customFormat="false" ht="23.85" hidden="false" customHeight="false" outlineLevel="0" collapsed="false">
      <c r="A188" s="7" t="s">
        <v>1029</v>
      </c>
      <c r="B188" s="7" t="s">
        <v>26</v>
      </c>
      <c r="C188" s="7" t="s">
        <v>36</v>
      </c>
      <c r="D188" s="7" t="s">
        <v>1030</v>
      </c>
      <c r="E188" s="7" t="s">
        <v>43</v>
      </c>
      <c r="F188" s="7" t="s">
        <v>14</v>
      </c>
      <c r="G188" s="7"/>
      <c r="H188" s="7" t="s">
        <v>1031</v>
      </c>
      <c r="I188" s="7" t="s">
        <v>1032</v>
      </c>
      <c r="J188" s="7" t="s">
        <v>1033</v>
      </c>
      <c r="K188" s="7" t="s">
        <v>1034</v>
      </c>
      <c r="L188" s="7" t="s">
        <v>331</v>
      </c>
      <c r="M188" s="7" t="s">
        <v>999</v>
      </c>
      <c r="N188" s="7" t="s">
        <v>6</v>
      </c>
      <c r="O188" s="7"/>
      <c r="P188" s="7"/>
      <c r="Q188" s="7"/>
      <c r="R188" s="7"/>
      <c r="S188" s="7"/>
    </row>
    <row r="189" customFormat="false" ht="23.85" hidden="false" customHeight="false" outlineLevel="0" collapsed="false">
      <c r="A189" s="7" t="s">
        <v>1035</v>
      </c>
      <c r="B189" s="7" t="s">
        <v>26</v>
      </c>
      <c r="C189" s="7" t="s">
        <v>36</v>
      </c>
      <c r="D189" s="7" t="s">
        <v>1036</v>
      </c>
      <c r="E189" s="7" t="s">
        <v>42</v>
      </c>
      <c r="F189" s="7" t="s">
        <v>16</v>
      </c>
      <c r="G189" s="7"/>
      <c r="H189" s="7" t="s">
        <v>1037</v>
      </c>
      <c r="I189" s="7" t="s">
        <v>1038</v>
      </c>
      <c r="J189" s="7" t="s">
        <v>1039</v>
      </c>
      <c r="K189" s="7" t="s">
        <v>997</v>
      </c>
      <c r="L189" s="7"/>
      <c r="M189" s="7" t="s">
        <v>999</v>
      </c>
      <c r="N189" s="7" t="s">
        <v>6</v>
      </c>
      <c r="O189" s="7"/>
      <c r="P189" s="7"/>
      <c r="Q189" s="7"/>
      <c r="R189" s="7"/>
      <c r="S189" s="7"/>
    </row>
    <row r="190" customFormat="false" ht="23.85" hidden="false" customHeight="false" outlineLevel="0" collapsed="false">
      <c r="A190" s="7" t="s">
        <v>1040</v>
      </c>
      <c r="B190" s="7" t="s">
        <v>26</v>
      </c>
      <c r="C190" s="7" t="s">
        <v>36</v>
      </c>
      <c r="D190" s="7" t="s">
        <v>1041</v>
      </c>
      <c r="E190" s="7" t="s">
        <v>42</v>
      </c>
      <c r="F190" s="7" t="s">
        <v>16</v>
      </c>
      <c r="G190" s="7"/>
      <c r="H190" s="7"/>
      <c r="I190" s="7" t="s">
        <v>1042</v>
      </c>
      <c r="J190" s="7" t="s">
        <v>1043</v>
      </c>
      <c r="K190" s="7" t="s">
        <v>997</v>
      </c>
      <c r="L190" s="7"/>
      <c r="M190" s="7" t="s">
        <v>999</v>
      </c>
      <c r="N190" s="7" t="s">
        <v>6</v>
      </c>
      <c r="O190" s="7"/>
      <c r="P190" s="7"/>
      <c r="Q190" s="7"/>
      <c r="R190" s="7"/>
      <c r="S190" s="7"/>
    </row>
    <row r="191" customFormat="false" ht="23.85" hidden="false" customHeight="false" outlineLevel="0" collapsed="false">
      <c r="A191" s="7" t="s">
        <v>1044</v>
      </c>
      <c r="B191" s="7" t="s">
        <v>26</v>
      </c>
      <c r="C191" s="7" t="s">
        <v>36</v>
      </c>
      <c r="D191" s="7" t="s">
        <v>1045</v>
      </c>
      <c r="E191" s="7" t="s">
        <v>42</v>
      </c>
      <c r="F191" s="7" t="s">
        <v>16</v>
      </c>
      <c r="G191" s="7"/>
      <c r="H191" s="7"/>
      <c r="I191" s="7" t="s">
        <v>1046</v>
      </c>
      <c r="J191" s="7" t="s">
        <v>1047</v>
      </c>
      <c r="K191" s="7" t="s">
        <v>997</v>
      </c>
      <c r="L191" s="7"/>
      <c r="M191" s="7" t="s">
        <v>999</v>
      </c>
      <c r="N191" s="7" t="s">
        <v>6</v>
      </c>
      <c r="O191" s="7"/>
      <c r="P191" s="7"/>
      <c r="Q191" s="7"/>
      <c r="R191" s="7"/>
      <c r="S191" s="7"/>
    </row>
    <row r="192" customFormat="false" ht="23.85" hidden="false" customHeight="false" outlineLevel="0" collapsed="false">
      <c r="A192" s="7" t="s">
        <v>1048</v>
      </c>
      <c r="B192" s="7" t="s">
        <v>26</v>
      </c>
      <c r="C192" s="7" t="s">
        <v>36</v>
      </c>
      <c r="D192" s="7" t="s">
        <v>1049</v>
      </c>
      <c r="E192" s="7" t="s">
        <v>43</v>
      </c>
      <c r="F192" s="7" t="s">
        <v>17</v>
      </c>
      <c r="G192" s="7"/>
      <c r="H192" s="7" t="s">
        <v>1050</v>
      </c>
      <c r="I192" s="7" t="s">
        <v>1003</v>
      </c>
      <c r="J192" s="7" t="s">
        <v>1051</v>
      </c>
      <c r="K192" s="7" t="s">
        <v>997</v>
      </c>
      <c r="L192" s="7"/>
      <c r="M192" s="7" t="s">
        <v>999</v>
      </c>
      <c r="N192" s="7" t="s">
        <v>6</v>
      </c>
      <c r="O192" s="7"/>
      <c r="P192" s="7"/>
      <c r="Q192" s="7"/>
      <c r="R192" s="7"/>
      <c r="S192" s="7"/>
    </row>
    <row r="193" customFormat="false" ht="23.85" hidden="false" customHeight="false" outlineLevel="0" collapsed="false">
      <c r="A193" s="7" t="s">
        <v>1052</v>
      </c>
      <c r="B193" s="7" t="s">
        <v>26</v>
      </c>
      <c r="C193" s="7" t="s">
        <v>36</v>
      </c>
      <c r="D193" s="7" t="s">
        <v>1053</v>
      </c>
      <c r="E193" s="7" t="s">
        <v>43</v>
      </c>
      <c r="F193" s="7" t="s">
        <v>16</v>
      </c>
      <c r="G193" s="7"/>
      <c r="H193" s="7"/>
      <c r="I193" s="7" t="s">
        <v>1054</v>
      </c>
      <c r="J193" s="7" t="s">
        <v>1055</v>
      </c>
      <c r="K193" s="7" t="s">
        <v>997</v>
      </c>
      <c r="L193" s="7"/>
      <c r="M193" s="7" t="s">
        <v>999</v>
      </c>
      <c r="N193" s="7" t="s">
        <v>6</v>
      </c>
      <c r="O193" s="7"/>
      <c r="P193" s="7"/>
      <c r="Q193" s="7"/>
      <c r="R193" s="7"/>
      <c r="S193" s="7"/>
    </row>
    <row r="194" customFormat="false" ht="23.85" hidden="false" customHeight="false" outlineLevel="0" collapsed="false">
      <c r="A194" s="7" t="s">
        <v>1056</v>
      </c>
      <c r="B194" s="7" t="s">
        <v>26</v>
      </c>
      <c r="C194" s="7" t="s">
        <v>36</v>
      </c>
      <c r="D194" s="7" t="s">
        <v>1057</v>
      </c>
      <c r="E194" s="7" t="s">
        <v>46</v>
      </c>
      <c r="F194" s="7" t="s">
        <v>15</v>
      </c>
      <c r="G194" s="7"/>
      <c r="H194" s="7"/>
      <c r="I194" s="7" t="s">
        <v>681</v>
      </c>
      <c r="J194" s="7" t="s">
        <v>1058</v>
      </c>
      <c r="K194" s="7" t="s">
        <v>1034</v>
      </c>
      <c r="L194" s="7"/>
      <c r="M194" s="7" t="s">
        <v>999</v>
      </c>
      <c r="N194" s="7" t="s">
        <v>6</v>
      </c>
      <c r="O194" s="7"/>
      <c r="P194" s="7"/>
      <c r="Q194" s="7"/>
      <c r="R194" s="7"/>
      <c r="S194" s="7"/>
    </row>
    <row r="195" customFormat="false" ht="15" hidden="false" customHeight="false" outlineLevel="0" collapsed="false">
      <c r="A195" s="7" t="s">
        <v>1059</v>
      </c>
      <c r="B195" s="7" t="s">
        <v>26</v>
      </c>
      <c r="C195" s="7" t="s">
        <v>37</v>
      </c>
      <c r="D195" s="7" t="s">
        <v>1060</v>
      </c>
      <c r="E195" s="7" t="s">
        <v>43</v>
      </c>
      <c r="F195" s="7" t="s">
        <v>14</v>
      </c>
      <c r="G195" s="7"/>
      <c r="H195" s="7" t="s">
        <v>1061</v>
      </c>
      <c r="I195" s="7" t="s">
        <v>1062</v>
      </c>
      <c r="J195" s="7" t="s">
        <v>1063</v>
      </c>
      <c r="K195" s="7" t="s">
        <v>997</v>
      </c>
      <c r="L195" s="7" t="s">
        <v>225</v>
      </c>
      <c r="M195" s="7" t="s">
        <v>1064</v>
      </c>
      <c r="N195" s="7" t="s">
        <v>6</v>
      </c>
      <c r="O195" s="7"/>
      <c r="P195" s="7"/>
      <c r="Q195" s="7"/>
      <c r="R195" s="7"/>
      <c r="S195" s="7"/>
    </row>
    <row r="196" customFormat="false" ht="15" hidden="false" customHeight="false" outlineLevel="0" collapsed="false">
      <c r="A196" s="7" t="s">
        <v>1065</v>
      </c>
      <c r="B196" s="7" t="s">
        <v>26</v>
      </c>
      <c r="C196" s="7" t="s">
        <v>37</v>
      </c>
      <c r="D196" s="7" t="s">
        <v>1066</v>
      </c>
      <c r="E196" s="7" t="s">
        <v>43</v>
      </c>
      <c r="F196" s="7" t="s">
        <v>14</v>
      </c>
      <c r="G196" s="7"/>
      <c r="H196" s="7" t="s">
        <v>1067</v>
      </c>
      <c r="I196" s="7" t="s">
        <v>1068</v>
      </c>
      <c r="J196" s="7" t="s">
        <v>1069</v>
      </c>
      <c r="K196" s="7" t="s">
        <v>997</v>
      </c>
      <c r="L196" s="7" t="s">
        <v>331</v>
      </c>
      <c r="M196" s="7" t="s">
        <v>1064</v>
      </c>
      <c r="N196" s="7" t="s">
        <v>6</v>
      </c>
      <c r="O196" s="7"/>
      <c r="P196" s="7"/>
      <c r="Q196" s="7"/>
      <c r="R196" s="7"/>
      <c r="S196" s="7"/>
    </row>
    <row r="197" customFormat="false" ht="23.85" hidden="false" customHeight="false" outlineLevel="0" collapsed="false">
      <c r="A197" s="7" t="s">
        <v>1070</v>
      </c>
      <c r="B197" s="7" t="s">
        <v>26</v>
      </c>
      <c r="C197" s="7" t="s">
        <v>37</v>
      </c>
      <c r="D197" s="7" t="s">
        <v>1071</v>
      </c>
      <c r="E197" s="7" t="s">
        <v>42</v>
      </c>
      <c r="F197" s="7" t="s">
        <v>15</v>
      </c>
      <c r="G197" s="7"/>
      <c r="H197" s="7" t="s">
        <v>1072</v>
      </c>
      <c r="I197" s="7" t="s">
        <v>1073</v>
      </c>
      <c r="J197" s="7" t="s">
        <v>1074</v>
      </c>
      <c r="K197" s="7" t="s">
        <v>997</v>
      </c>
      <c r="L197" s="7"/>
      <c r="M197" s="7" t="s">
        <v>1064</v>
      </c>
      <c r="N197" s="7" t="s">
        <v>6</v>
      </c>
      <c r="O197" s="7"/>
      <c r="P197" s="7"/>
      <c r="Q197" s="7"/>
      <c r="R197" s="7"/>
      <c r="S197" s="7"/>
    </row>
    <row r="198" customFormat="false" ht="23.85" hidden="false" customHeight="false" outlineLevel="0" collapsed="false">
      <c r="A198" s="7" t="s">
        <v>1075</v>
      </c>
      <c r="B198" s="7" t="s">
        <v>26</v>
      </c>
      <c r="C198" s="7" t="s">
        <v>37</v>
      </c>
      <c r="D198" s="7" t="s">
        <v>1076</v>
      </c>
      <c r="E198" s="7" t="s">
        <v>45</v>
      </c>
      <c r="F198" s="7" t="s">
        <v>14</v>
      </c>
      <c r="G198" s="7"/>
      <c r="H198" s="7"/>
      <c r="I198" s="7" t="s">
        <v>1068</v>
      </c>
      <c r="J198" s="7" t="s">
        <v>1077</v>
      </c>
      <c r="K198" s="7" t="s">
        <v>1078</v>
      </c>
      <c r="L198" s="7"/>
      <c r="M198" s="7" t="s">
        <v>1064</v>
      </c>
      <c r="N198" s="7" t="s">
        <v>6</v>
      </c>
      <c r="O198" s="7"/>
      <c r="P198" s="7"/>
      <c r="Q198" s="7"/>
      <c r="R198" s="7"/>
      <c r="S198" s="7"/>
    </row>
    <row r="199" customFormat="false" ht="23.85" hidden="false" customHeight="false" outlineLevel="0" collapsed="false">
      <c r="A199" s="7" t="s">
        <v>1079</v>
      </c>
      <c r="B199" s="7" t="s">
        <v>27</v>
      </c>
      <c r="C199" s="7" t="s">
        <v>36</v>
      </c>
      <c r="D199" s="7" t="s">
        <v>1080</v>
      </c>
      <c r="E199" s="7" t="s">
        <v>42</v>
      </c>
      <c r="F199" s="7" t="s">
        <v>15</v>
      </c>
      <c r="G199" s="7" t="s">
        <v>1081</v>
      </c>
      <c r="H199" s="7"/>
      <c r="I199" s="7" t="s">
        <v>1082</v>
      </c>
      <c r="J199" s="7" t="s">
        <v>1083</v>
      </c>
      <c r="K199" s="7" t="s">
        <v>510</v>
      </c>
      <c r="L199" s="7"/>
      <c r="M199" s="7" t="s">
        <v>1084</v>
      </c>
      <c r="N199" s="7" t="s">
        <v>6</v>
      </c>
      <c r="O199" s="7"/>
      <c r="P199" s="7"/>
      <c r="Q199" s="7"/>
      <c r="R199" s="7"/>
      <c r="S199" s="7"/>
    </row>
    <row r="200" customFormat="false" ht="23.85" hidden="false" customHeight="false" outlineLevel="0" collapsed="false">
      <c r="A200" s="7" t="s">
        <v>1085</v>
      </c>
      <c r="B200" s="7" t="s">
        <v>27</v>
      </c>
      <c r="C200" s="7" t="s">
        <v>36</v>
      </c>
      <c r="D200" s="7" t="s">
        <v>1086</v>
      </c>
      <c r="E200" s="7" t="s">
        <v>42</v>
      </c>
      <c r="F200" s="7" t="s">
        <v>14</v>
      </c>
      <c r="G200" s="7" t="s">
        <v>1087</v>
      </c>
      <c r="H200" s="7"/>
      <c r="I200" s="7" t="s">
        <v>1088</v>
      </c>
      <c r="J200" s="7" t="s">
        <v>1089</v>
      </c>
      <c r="K200" s="7" t="s">
        <v>510</v>
      </c>
      <c r="L200" s="7"/>
      <c r="M200" s="7" t="s">
        <v>1084</v>
      </c>
      <c r="N200" s="7" t="s">
        <v>6</v>
      </c>
      <c r="O200" s="7"/>
      <c r="P200" s="7"/>
      <c r="Q200" s="7"/>
      <c r="R200" s="7"/>
      <c r="S200" s="7"/>
    </row>
    <row r="201" customFormat="false" ht="23.85" hidden="false" customHeight="false" outlineLevel="0" collapsed="false">
      <c r="A201" s="7" t="s">
        <v>1090</v>
      </c>
      <c r="B201" s="7" t="s">
        <v>27</v>
      </c>
      <c r="C201" s="7" t="s">
        <v>36</v>
      </c>
      <c r="D201" s="7" t="s">
        <v>1091</v>
      </c>
      <c r="E201" s="7" t="s">
        <v>42</v>
      </c>
      <c r="F201" s="7" t="s">
        <v>15</v>
      </c>
      <c r="G201" s="7"/>
      <c r="H201" s="7"/>
      <c r="I201" s="7" t="s">
        <v>1092</v>
      </c>
      <c r="J201" s="7" t="s">
        <v>1093</v>
      </c>
      <c r="K201" s="7" t="s">
        <v>510</v>
      </c>
      <c r="L201" s="7"/>
      <c r="M201" s="7" t="s">
        <v>1084</v>
      </c>
      <c r="N201" s="7" t="s">
        <v>6</v>
      </c>
      <c r="O201" s="7"/>
      <c r="P201" s="7"/>
      <c r="Q201" s="7"/>
      <c r="R201" s="7"/>
      <c r="S201" s="7"/>
    </row>
    <row r="202" customFormat="false" ht="23.85" hidden="false" customHeight="false" outlineLevel="0" collapsed="false">
      <c r="A202" s="7" t="s">
        <v>1094</v>
      </c>
      <c r="B202" s="7" t="s">
        <v>27</v>
      </c>
      <c r="C202" s="7" t="s">
        <v>36</v>
      </c>
      <c r="D202" s="7" t="s">
        <v>1095</v>
      </c>
      <c r="E202" s="7" t="s">
        <v>43</v>
      </c>
      <c r="F202" s="7" t="s">
        <v>14</v>
      </c>
      <c r="G202" s="7" t="s">
        <v>1096</v>
      </c>
      <c r="H202" s="7"/>
      <c r="I202" s="7" t="s">
        <v>1097</v>
      </c>
      <c r="J202" s="7" t="s">
        <v>1098</v>
      </c>
      <c r="K202" s="7" t="s">
        <v>510</v>
      </c>
      <c r="L202" s="7"/>
      <c r="M202" s="7" t="s">
        <v>1084</v>
      </c>
      <c r="N202" s="7" t="s">
        <v>6</v>
      </c>
      <c r="O202" s="7"/>
      <c r="P202" s="7"/>
      <c r="Q202" s="7"/>
      <c r="R202" s="7"/>
      <c r="S202" s="7"/>
    </row>
    <row r="203" customFormat="false" ht="23.85" hidden="false" customHeight="false" outlineLevel="0" collapsed="false">
      <c r="A203" s="7" t="s">
        <v>1099</v>
      </c>
      <c r="B203" s="7" t="s">
        <v>27</v>
      </c>
      <c r="C203" s="7" t="s">
        <v>36</v>
      </c>
      <c r="D203" s="7" t="s">
        <v>1100</v>
      </c>
      <c r="E203" s="7" t="s">
        <v>42</v>
      </c>
      <c r="F203" s="7" t="s">
        <v>14</v>
      </c>
      <c r="G203" s="7"/>
      <c r="H203" s="7"/>
      <c r="I203" s="7" t="s">
        <v>1101</v>
      </c>
      <c r="J203" s="7" t="s">
        <v>1102</v>
      </c>
      <c r="K203" s="7" t="s">
        <v>510</v>
      </c>
      <c r="L203" s="7"/>
      <c r="M203" s="7" t="s">
        <v>1084</v>
      </c>
      <c r="N203" s="7" t="s">
        <v>6</v>
      </c>
      <c r="O203" s="7"/>
      <c r="P203" s="7"/>
      <c r="Q203" s="7"/>
      <c r="R203" s="7"/>
      <c r="S203" s="7"/>
    </row>
    <row r="204" customFormat="false" ht="23.85" hidden="false" customHeight="false" outlineLevel="0" collapsed="false">
      <c r="A204" s="7" t="s">
        <v>1103</v>
      </c>
      <c r="B204" s="7" t="s">
        <v>27</v>
      </c>
      <c r="C204" s="7" t="s">
        <v>36</v>
      </c>
      <c r="D204" s="7" t="s">
        <v>1104</v>
      </c>
      <c r="E204" s="7" t="s">
        <v>46</v>
      </c>
      <c r="F204" s="7" t="s">
        <v>15</v>
      </c>
      <c r="G204" s="7"/>
      <c r="H204" s="7"/>
      <c r="I204" s="7" t="s">
        <v>1105</v>
      </c>
      <c r="J204" s="7" t="s">
        <v>1106</v>
      </c>
      <c r="K204" s="7" t="s">
        <v>510</v>
      </c>
      <c r="L204" s="7"/>
      <c r="M204" s="7" t="s">
        <v>1084</v>
      </c>
      <c r="N204" s="7" t="s">
        <v>6</v>
      </c>
      <c r="O204" s="7"/>
      <c r="P204" s="7"/>
      <c r="Q204" s="7"/>
      <c r="R204" s="7"/>
      <c r="S204" s="7"/>
    </row>
    <row r="205" customFormat="false" ht="23.85" hidden="false" customHeight="false" outlineLevel="0" collapsed="false">
      <c r="A205" s="7" t="s">
        <v>1107</v>
      </c>
      <c r="B205" s="7" t="s">
        <v>27</v>
      </c>
      <c r="C205" s="7" t="s">
        <v>36</v>
      </c>
      <c r="D205" s="7" t="s">
        <v>1108</v>
      </c>
      <c r="E205" s="7" t="s">
        <v>42</v>
      </c>
      <c r="F205" s="7" t="s">
        <v>14</v>
      </c>
      <c r="G205" s="7" t="s">
        <v>1109</v>
      </c>
      <c r="H205" s="7"/>
      <c r="I205" s="7" t="s">
        <v>1110</v>
      </c>
      <c r="J205" s="7" t="s">
        <v>1111</v>
      </c>
      <c r="K205" s="7" t="s">
        <v>1112</v>
      </c>
      <c r="L205" s="7"/>
      <c r="M205" s="7" t="s">
        <v>1084</v>
      </c>
      <c r="N205" s="7" t="s">
        <v>6</v>
      </c>
      <c r="O205" s="7"/>
      <c r="P205" s="7"/>
      <c r="Q205" s="7"/>
      <c r="R205" s="7"/>
      <c r="S205" s="7"/>
    </row>
    <row r="206" customFormat="false" ht="23.85" hidden="false" customHeight="false" outlineLevel="0" collapsed="false">
      <c r="A206" s="7" t="s">
        <v>1113</v>
      </c>
      <c r="B206" s="7" t="s">
        <v>27</v>
      </c>
      <c r="C206" s="7" t="s">
        <v>36</v>
      </c>
      <c r="D206" s="7" t="s">
        <v>1114</v>
      </c>
      <c r="E206" s="7" t="s">
        <v>42</v>
      </c>
      <c r="F206" s="7" t="s">
        <v>15</v>
      </c>
      <c r="G206" s="7"/>
      <c r="H206" s="7" t="s">
        <v>1115</v>
      </c>
      <c r="I206" s="7" t="s">
        <v>1116</v>
      </c>
      <c r="J206" s="7" t="s">
        <v>1117</v>
      </c>
      <c r="K206" s="7" t="s">
        <v>1118</v>
      </c>
      <c r="L206" s="7" t="s">
        <v>1119</v>
      </c>
      <c r="M206" s="7" t="s">
        <v>1084</v>
      </c>
      <c r="N206" s="7" t="s">
        <v>6</v>
      </c>
      <c r="O206" s="7"/>
      <c r="P206" s="7"/>
      <c r="Q206" s="7"/>
      <c r="R206" s="7"/>
      <c r="S206" s="7"/>
    </row>
    <row r="207" customFormat="false" ht="23.85" hidden="false" customHeight="false" outlineLevel="0" collapsed="false">
      <c r="A207" s="7" t="s">
        <v>1120</v>
      </c>
      <c r="B207" s="7" t="s">
        <v>27</v>
      </c>
      <c r="C207" s="7" t="s">
        <v>36</v>
      </c>
      <c r="D207" s="7" t="s">
        <v>1121</v>
      </c>
      <c r="E207" s="7" t="s">
        <v>43</v>
      </c>
      <c r="F207" s="7" t="s">
        <v>15</v>
      </c>
      <c r="G207" s="7"/>
      <c r="H207" s="7"/>
      <c r="I207" s="7" t="s">
        <v>1122</v>
      </c>
      <c r="J207" s="7" t="s">
        <v>1123</v>
      </c>
      <c r="K207" s="7" t="s">
        <v>510</v>
      </c>
      <c r="L207" s="7"/>
      <c r="M207" s="7" t="s">
        <v>1084</v>
      </c>
      <c r="N207" s="7" t="s">
        <v>6</v>
      </c>
      <c r="O207" s="7"/>
      <c r="P207" s="7"/>
      <c r="Q207" s="7"/>
      <c r="R207" s="7"/>
      <c r="S207" s="7"/>
    </row>
    <row r="208" customFormat="false" ht="23.85" hidden="false" customHeight="false" outlineLevel="0" collapsed="false">
      <c r="A208" s="7" t="s">
        <v>1124</v>
      </c>
      <c r="B208" s="7" t="s">
        <v>27</v>
      </c>
      <c r="C208" s="7" t="s">
        <v>36</v>
      </c>
      <c r="D208" s="7" t="s">
        <v>1125</v>
      </c>
      <c r="E208" s="7" t="s">
        <v>42</v>
      </c>
      <c r="F208" s="7" t="s">
        <v>14</v>
      </c>
      <c r="G208" s="7" t="s">
        <v>1126</v>
      </c>
      <c r="H208" s="7" t="s">
        <v>273</v>
      </c>
      <c r="I208" s="7" t="s">
        <v>1127</v>
      </c>
      <c r="J208" s="7" t="s">
        <v>1128</v>
      </c>
      <c r="K208" s="7" t="s">
        <v>510</v>
      </c>
      <c r="L208" s="7"/>
      <c r="M208" s="7" t="s">
        <v>1084</v>
      </c>
      <c r="N208" s="7" t="s">
        <v>6</v>
      </c>
      <c r="O208" s="7"/>
      <c r="P208" s="7"/>
      <c r="Q208" s="7"/>
      <c r="R208" s="7"/>
      <c r="S208" s="7"/>
    </row>
    <row r="209" customFormat="false" ht="23.85" hidden="false" customHeight="false" outlineLevel="0" collapsed="false">
      <c r="A209" s="7" t="s">
        <v>1129</v>
      </c>
      <c r="B209" s="7" t="s">
        <v>27</v>
      </c>
      <c r="C209" s="7" t="s">
        <v>36</v>
      </c>
      <c r="D209" s="7" t="s">
        <v>1130</v>
      </c>
      <c r="E209" s="7" t="s">
        <v>43</v>
      </c>
      <c r="F209" s="7" t="s">
        <v>16</v>
      </c>
      <c r="G209" s="7"/>
      <c r="H209" s="7"/>
      <c r="I209" s="7" t="s">
        <v>1131</v>
      </c>
      <c r="J209" s="7" t="s">
        <v>1132</v>
      </c>
      <c r="K209" s="7" t="s">
        <v>510</v>
      </c>
      <c r="L209" s="7"/>
      <c r="M209" s="7" t="s">
        <v>1084</v>
      </c>
      <c r="N209" s="7" t="s">
        <v>6</v>
      </c>
      <c r="O209" s="7"/>
      <c r="P209" s="7"/>
      <c r="Q209" s="7"/>
      <c r="R209" s="7"/>
      <c r="S209" s="7"/>
    </row>
    <row r="210" customFormat="false" ht="23.85" hidden="false" customHeight="false" outlineLevel="0" collapsed="false">
      <c r="A210" s="7" t="s">
        <v>1133</v>
      </c>
      <c r="B210" s="7" t="s">
        <v>27</v>
      </c>
      <c r="C210" s="7" t="s">
        <v>36</v>
      </c>
      <c r="D210" s="7" t="s">
        <v>1134</v>
      </c>
      <c r="E210" s="7" t="s">
        <v>43</v>
      </c>
      <c r="F210" s="7" t="s">
        <v>16</v>
      </c>
      <c r="G210" s="7"/>
      <c r="H210" s="7"/>
      <c r="I210" s="7" t="s">
        <v>1135</v>
      </c>
      <c r="J210" s="7" t="s">
        <v>1136</v>
      </c>
      <c r="K210" s="7" t="s">
        <v>1137</v>
      </c>
      <c r="L210" s="7"/>
      <c r="M210" s="7" t="s">
        <v>1084</v>
      </c>
      <c r="N210" s="7" t="s">
        <v>6</v>
      </c>
      <c r="O210" s="7"/>
      <c r="P210" s="7"/>
      <c r="Q210" s="7"/>
      <c r="R210" s="7"/>
      <c r="S210" s="7"/>
    </row>
    <row r="211" customFormat="false" ht="23.85" hidden="false" customHeight="false" outlineLevel="0" collapsed="false">
      <c r="A211" s="7" t="s">
        <v>1138</v>
      </c>
      <c r="B211" s="7" t="s">
        <v>27</v>
      </c>
      <c r="C211" s="7" t="s">
        <v>36</v>
      </c>
      <c r="D211" s="7" t="s">
        <v>1139</v>
      </c>
      <c r="E211" s="7" t="s">
        <v>42</v>
      </c>
      <c r="F211" s="7" t="s">
        <v>15</v>
      </c>
      <c r="G211" s="7"/>
      <c r="H211" s="7"/>
      <c r="I211" s="7" t="s">
        <v>1140</v>
      </c>
      <c r="J211" s="7" t="s">
        <v>1141</v>
      </c>
      <c r="K211" s="7" t="s">
        <v>510</v>
      </c>
      <c r="L211" s="7"/>
      <c r="M211" s="7" t="s">
        <v>1084</v>
      </c>
      <c r="N211" s="7" t="s">
        <v>6</v>
      </c>
      <c r="O211" s="7"/>
      <c r="P211" s="7"/>
      <c r="Q211" s="7"/>
      <c r="R211" s="7"/>
      <c r="S211" s="7"/>
    </row>
    <row r="212" customFormat="false" ht="23.85" hidden="false" customHeight="false" outlineLevel="0" collapsed="false">
      <c r="A212" s="7" t="s">
        <v>1142</v>
      </c>
      <c r="B212" s="7" t="s">
        <v>27</v>
      </c>
      <c r="C212" s="7" t="s">
        <v>36</v>
      </c>
      <c r="D212" s="7" t="s">
        <v>1143</v>
      </c>
      <c r="E212" s="7" t="s">
        <v>46</v>
      </c>
      <c r="F212" s="7" t="s">
        <v>15</v>
      </c>
      <c r="G212" s="7"/>
      <c r="H212" s="7"/>
      <c r="I212" s="7" t="s">
        <v>1144</v>
      </c>
      <c r="J212" s="7" t="s">
        <v>1145</v>
      </c>
      <c r="K212" s="7" t="s">
        <v>510</v>
      </c>
      <c r="L212" s="7"/>
      <c r="M212" s="7" t="s">
        <v>1084</v>
      </c>
      <c r="N212" s="7" t="s">
        <v>6</v>
      </c>
      <c r="O212" s="7"/>
      <c r="P212" s="7"/>
      <c r="Q212" s="7"/>
      <c r="R212" s="7"/>
      <c r="S212" s="7"/>
    </row>
    <row r="213" customFormat="false" ht="23.85" hidden="false" customHeight="false" outlineLevel="0" collapsed="false">
      <c r="A213" s="7" t="s">
        <v>1146</v>
      </c>
      <c r="B213" s="7" t="s">
        <v>27</v>
      </c>
      <c r="C213" s="7" t="s">
        <v>36</v>
      </c>
      <c r="D213" s="7" t="s">
        <v>1147</v>
      </c>
      <c r="E213" s="7" t="s">
        <v>43</v>
      </c>
      <c r="F213" s="7" t="s">
        <v>15</v>
      </c>
      <c r="G213" s="7"/>
      <c r="H213" s="7"/>
      <c r="I213" s="7" t="s">
        <v>1148</v>
      </c>
      <c r="J213" s="7" t="s">
        <v>1149</v>
      </c>
      <c r="K213" s="7" t="s">
        <v>510</v>
      </c>
      <c r="L213" s="7"/>
      <c r="M213" s="7" t="s">
        <v>1084</v>
      </c>
      <c r="N213" s="7" t="s">
        <v>6</v>
      </c>
      <c r="O213" s="7"/>
      <c r="P213" s="7"/>
      <c r="Q213" s="7"/>
      <c r="R213" s="7"/>
      <c r="S213" s="7"/>
    </row>
    <row r="214" customFormat="false" ht="15" hidden="false" customHeight="false" outlineLevel="0" collapsed="false">
      <c r="A214" s="7" t="s">
        <v>1150</v>
      </c>
      <c r="B214" s="7" t="s">
        <v>27</v>
      </c>
      <c r="C214" s="7" t="s">
        <v>37</v>
      </c>
      <c r="D214" s="7" t="s">
        <v>1151</v>
      </c>
      <c r="E214" s="7" t="s">
        <v>42</v>
      </c>
      <c r="F214" s="7" t="s">
        <v>15</v>
      </c>
      <c r="G214" s="7" t="s">
        <v>1152</v>
      </c>
      <c r="H214" s="7"/>
      <c r="I214" s="7" t="s">
        <v>1153</v>
      </c>
      <c r="J214" s="7" t="s">
        <v>1154</v>
      </c>
      <c r="K214" s="7" t="s">
        <v>510</v>
      </c>
      <c r="L214" s="7" t="s">
        <v>225</v>
      </c>
      <c r="M214" s="7" t="s">
        <v>1155</v>
      </c>
      <c r="N214" s="7" t="s">
        <v>6</v>
      </c>
      <c r="O214" s="7"/>
      <c r="P214" s="7"/>
      <c r="Q214" s="7"/>
      <c r="R214" s="7"/>
      <c r="S214" s="7"/>
    </row>
    <row r="215" customFormat="false" ht="15" hidden="false" customHeight="false" outlineLevel="0" collapsed="false">
      <c r="A215" s="7" t="s">
        <v>1156</v>
      </c>
      <c r="B215" s="7" t="s">
        <v>27</v>
      </c>
      <c r="C215" s="7" t="s">
        <v>37</v>
      </c>
      <c r="D215" s="7" t="s">
        <v>1157</v>
      </c>
      <c r="E215" s="7" t="s">
        <v>43</v>
      </c>
      <c r="F215" s="7" t="s">
        <v>14</v>
      </c>
      <c r="G215" s="7"/>
      <c r="H215" s="7"/>
      <c r="I215" s="7" t="s">
        <v>1158</v>
      </c>
      <c r="J215" s="7" t="s">
        <v>1159</v>
      </c>
      <c r="K215" s="7" t="s">
        <v>510</v>
      </c>
      <c r="L215" s="7"/>
      <c r="M215" s="7" t="s">
        <v>1155</v>
      </c>
      <c r="N215" s="7" t="s">
        <v>6</v>
      </c>
      <c r="O215" s="7"/>
      <c r="P215" s="7"/>
      <c r="Q215" s="7"/>
      <c r="R215" s="7"/>
      <c r="S215" s="7"/>
    </row>
    <row r="216" customFormat="false" ht="15" hidden="false" customHeight="false" outlineLevel="0" collapsed="false">
      <c r="A216" s="7" t="s">
        <v>1160</v>
      </c>
      <c r="B216" s="7" t="s">
        <v>27</v>
      </c>
      <c r="C216" s="7" t="s">
        <v>37</v>
      </c>
      <c r="D216" s="7" t="s">
        <v>1161</v>
      </c>
      <c r="E216" s="7" t="s">
        <v>42</v>
      </c>
      <c r="F216" s="7" t="s">
        <v>14</v>
      </c>
      <c r="G216" s="7"/>
      <c r="H216" s="7"/>
      <c r="I216" s="7" t="s">
        <v>1158</v>
      </c>
      <c r="J216" s="7" t="s">
        <v>1162</v>
      </c>
      <c r="K216" s="7" t="s">
        <v>1112</v>
      </c>
      <c r="L216" s="7"/>
      <c r="M216" s="7" t="s">
        <v>1155</v>
      </c>
      <c r="N216" s="7" t="s">
        <v>6</v>
      </c>
      <c r="O216" s="7"/>
      <c r="P216" s="7"/>
      <c r="Q216" s="7"/>
      <c r="R216" s="7"/>
      <c r="S216" s="7"/>
    </row>
    <row r="217" customFormat="false" ht="15" hidden="false" customHeight="false" outlineLevel="0" collapsed="false">
      <c r="A217" s="7" t="s">
        <v>1163</v>
      </c>
      <c r="B217" s="7" t="s">
        <v>27</v>
      </c>
      <c r="C217" s="7" t="s">
        <v>37</v>
      </c>
      <c r="D217" s="7" t="s">
        <v>1164</v>
      </c>
      <c r="E217" s="7" t="s">
        <v>43</v>
      </c>
      <c r="F217" s="7" t="s">
        <v>15</v>
      </c>
      <c r="G217" s="7"/>
      <c r="H217" s="7"/>
      <c r="I217" s="7" t="s">
        <v>1165</v>
      </c>
      <c r="J217" s="7" t="s">
        <v>1166</v>
      </c>
      <c r="K217" s="7" t="s">
        <v>510</v>
      </c>
      <c r="L217" s="7"/>
      <c r="M217" s="7" t="s">
        <v>1155</v>
      </c>
      <c r="N217" s="7" t="s">
        <v>6</v>
      </c>
      <c r="O217" s="7"/>
      <c r="P217" s="7"/>
      <c r="Q217" s="7"/>
      <c r="R217" s="7"/>
      <c r="S217" s="7"/>
    </row>
    <row r="218" customFormat="false" ht="15" hidden="false" customHeight="false" outlineLevel="0" collapsed="false">
      <c r="A218" s="7" t="s">
        <v>1167</v>
      </c>
      <c r="B218" s="7" t="s">
        <v>27</v>
      </c>
      <c r="C218" s="7" t="s">
        <v>37</v>
      </c>
      <c r="D218" s="7" t="s">
        <v>1168</v>
      </c>
      <c r="E218" s="7" t="s">
        <v>43</v>
      </c>
      <c r="F218" s="7" t="s">
        <v>14</v>
      </c>
      <c r="G218" s="7"/>
      <c r="H218" s="7"/>
      <c r="I218" s="7" t="s">
        <v>1169</v>
      </c>
      <c r="J218" s="7" t="s">
        <v>1170</v>
      </c>
      <c r="K218" s="7" t="s">
        <v>510</v>
      </c>
      <c r="L218" s="7"/>
      <c r="M218" s="7" t="s">
        <v>1155</v>
      </c>
      <c r="N218" s="7" t="s">
        <v>6</v>
      </c>
      <c r="O218" s="7"/>
      <c r="P218" s="7"/>
      <c r="Q218" s="7"/>
      <c r="R218" s="7"/>
      <c r="S218" s="7"/>
    </row>
    <row r="219" customFormat="false" ht="23.85" hidden="false" customHeight="false" outlineLevel="0" collapsed="false">
      <c r="A219" s="7" t="s">
        <v>1171</v>
      </c>
      <c r="B219" s="7" t="s">
        <v>27</v>
      </c>
      <c r="C219" s="7" t="s">
        <v>37</v>
      </c>
      <c r="D219" s="7" t="s">
        <v>1172</v>
      </c>
      <c r="E219" s="7" t="s">
        <v>45</v>
      </c>
      <c r="F219" s="7" t="s">
        <v>15</v>
      </c>
      <c r="G219" s="7"/>
      <c r="H219" s="7" t="s">
        <v>1173</v>
      </c>
      <c r="I219" s="7" t="s">
        <v>1174</v>
      </c>
      <c r="J219" s="7" t="s">
        <v>1175</v>
      </c>
      <c r="K219" s="7" t="s">
        <v>1112</v>
      </c>
      <c r="L219" s="7"/>
      <c r="M219" s="7" t="s">
        <v>1155</v>
      </c>
      <c r="N219" s="7" t="s">
        <v>6</v>
      </c>
      <c r="O219" s="7"/>
      <c r="P219" s="7"/>
      <c r="Q219" s="7"/>
      <c r="R219" s="7"/>
      <c r="S219" s="7"/>
    </row>
    <row r="220" customFormat="false" ht="35.05" hidden="false" customHeight="false" outlineLevel="0" collapsed="false">
      <c r="A220" s="7" t="s">
        <v>1176</v>
      </c>
      <c r="B220" s="7" t="s">
        <v>28</v>
      </c>
      <c r="C220" s="7" t="s">
        <v>36</v>
      </c>
      <c r="D220" s="7" t="s">
        <v>1177</v>
      </c>
      <c r="E220" s="7" t="s">
        <v>42</v>
      </c>
      <c r="F220" s="7" t="s">
        <v>14</v>
      </c>
      <c r="G220" s="7" t="s">
        <v>323</v>
      </c>
      <c r="H220" s="7" t="s">
        <v>273</v>
      </c>
      <c r="I220" s="7" t="s">
        <v>1178</v>
      </c>
      <c r="J220" s="7" t="s">
        <v>1179</v>
      </c>
      <c r="K220" s="7" t="s">
        <v>1118</v>
      </c>
      <c r="L220" s="7"/>
      <c r="M220" s="7" t="s">
        <v>1180</v>
      </c>
      <c r="N220" s="7" t="s">
        <v>6</v>
      </c>
      <c r="O220" s="7"/>
      <c r="P220" s="7"/>
      <c r="Q220" s="7"/>
      <c r="R220" s="7"/>
      <c r="S220" s="7"/>
    </row>
    <row r="221" customFormat="false" ht="35.05" hidden="false" customHeight="false" outlineLevel="0" collapsed="false">
      <c r="A221" s="7" t="s">
        <v>1181</v>
      </c>
      <c r="B221" s="7" t="s">
        <v>28</v>
      </c>
      <c r="C221" s="7" t="s">
        <v>36</v>
      </c>
      <c r="D221" s="7" t="s">
        <v>1182</v>
      </c>
      <c r="E221" s="7" t="s">
        <v>42</v>
      </c>
      <c r="F221" s="7" t="s">
        <v>14</v>
      </c>
      <c r="G221" s="7"/>
      <c r="H221" s="7"/>
      <c r="I221" s="7" t="s">
        <v>1183</v>
      </c>
      <c r="J221" s="7" t="s">
        <v>1184</v>
      </c>
      <c r="K221" s="7" t="s">
        <v>1118</v>
      </c>
      <c r="L221" s="7"/>
      <c r="M221" s="7" t="s">
        <v>1180</v>
      </c>
      <c r="N221" s="7" t="s">
        <v>6</v>
      </c>
      <c r="O221" s="7"/>
      <c r="P221" s="7"/>
      <c r="Q221" s="7"/>
      <c r="R221" s="7"/>
      <c r="S221" s="7"/>
    </row>
    <row r="222" customFormat="false" ht="35.05" hidden="false" customHeight="false" outlineLevel="0" collapsed="false">
      <c r="A222" s="7" t="s">
        <v>1185</v>
      </c>
      <c r="B222" s="7" t="s">
        <v>28</v>
      </c>
      <c r="C222" s="7" t="s">
        <v>36</v>
      </c>
      <c r="D222" s="7" t="s">
        <v>1186</v>
      </c>
      <c r="E222" s="7" t="s">
        <v>42</v>
      </c>
      <c r="F222" s="7" t="s">
        <v>14</v>
      </c>
      <c r="G222" s="7"/>
      <c r="H222" s="7"/>
      <c r="I222" s="7" t="s">
        <v>1187</v>
      </c>
      <c r="J222" s="7" t="s">
        <v>1188</v>
      </c>
      <c r="K222" s="7" t="s">
        <v>1118</v>
      </c>
      <c r="L222" s="7"/>
      <c r="M222" s="7" t="s">
        <v>1180</v>
      </c>
      <c r="N222" s="7" t="s">
        <v>6</v>
      </c>
      <c r="O222" s="7"/>
      <c r="P222" s="7"/>
      <c r="Q222" s="7"/>
      <c r="R222" s="7"/>
      <c r="S222" s="7"/>
    </row>
    <row r="223" customFormat="false" ht="35.05" hidden="false" customHeight="false" outlineLevel="0" collapsed="false">
      <c r="A223" s="7" t="s">
        <v>1189</v>
      </c>
      <c r="B223" s="7" t="s">
        <v>28</v>
      </c>
      <c r="C223" s="7" t="s">
        <v>36</v>
      </c>
      <c r="D223" s="7" t="s">
        <v>1190</v>
      </c>
      <c r="E223" s="7" t="s">
        <v>42</v>
      </c>
      <c r="F223" s="7" t="s">
        <v>15</v>
      </c>
      <c r="G223" s="7"/>
      <c r="H223" s="7"/>
      <c r="I223" s="7" t="s">
        <v>1191</v>
      </c>
      <c r="J223" s="7" t="s">
        <v>1192</v>
      </c>
      <c r="K223" s="7" t="s">
        <v>1118</v>
      </c>
      <c r="L223" s="7" t="s">
        <v>1193</v>
      </c>
      <c r="M223" s="7" t="s">
        <v>1180</v>
      </c>
      <c r="N223" s="7" t="s">
        <v>6</v>
      </c>
      <c r="O223" s="7"/>
      <c r="P223" s="7"/>
      <c r="Q223" s="7"/>
      <c r="R223" s="7"/>
      <c r="S223" s="7"/>
    </row>
    <row r="224" customFormat="false" ht="35.05" hidden="false" customHeight="false" outlineLevel="0" collapsed="false">
      <c r="A224" s="7" t="s">
        <v>1194</v>
      </c>
      <c r="B224" s="7" t="s">
        <v>28</v>
      </c>
      <c r="C224" s="7" t="s">
        <v>36</v>
      </c>
      <c r="D224" s="7" t="s">
        <v>1195</v>
      </c>
      <c r="E224" s="7" t="s">
        <v>42</v>
      </c>
      <c r="F224" s="7" t="s">
        <v>16</v>
      </c>
      <c r="G224" s="7" t="s">
        <v>1196</v>
      </c>
      <c r="H224" s="7" t="s">
        <v>266</v>
      </c>
      <c r="I224" s="7" t="s">
        <v>1197</v>
      </c>
      <c r="J224" s="7" t="s">
        <v>1198</v>
      </c>
      <c r="K224" s="7" t="s">
        <v>1118</v>
      </c>
      <c r="L224" s="7"/>
      <c r="M224" s="7" t="s">
        <v>1180</v>
      </c>
      <c r="N224" s="7" t="s">
        <v>6</v>
      </c>
      <c r="O224" s="7"/>
      <c r="P224" s="7"/>
      <c r="Q224" s="7"/>
      <c r="R224" s="7"/>
      <c r="S224" s="7"/>
    </row>
    <row r="225" customFormat="false" ht="35.05" hidden="false" customHeight="false" outlineLevel="0" collapsed="false">
      <c r="A225" s="7" t="s">
        <v>1199</v>
      </c>
      <c r="B225" s="7" t="s">
        <v>28</v>
      </c>
      <c r="C225" s="7" t="s">
        <v>36</v>
      </c>
      <c r="D225" s="7" t="s">
        <v>1200</v>
      </c>
      <c r="E225" s="7" t="s">
        <v>45</v>
      </c>
      <c r="F225" s="7" t="s">
        <v>14</v>
      </c>
      <c r="G225" s="7"/>
      <c r="H225" s="7"/>
      <c r="I225" s="7" t="s">
        <v>1201</v>
      </c>
      <c r="J225" s="7" t="s">
        <v>1202</v>
      </c>
      <c r="K225" s="7" t="s">
        <v>276</v>
      </c>
      <c r="L225" s="7"/>
      <c r="M225" s="7" t="s">
        <v>1180</v>
      </c>
      <c r="N225" s="7" t="s">
        <v>6</v>
      </c>
      <c r="O225" s="7"/>
      <c r="P225" s="7"/>
      <c r="Q225" s="7"/>
      <c r="R225" s="7"/>
      <c r="S225" s="7"/>
    </row>
    <row r="226" customFormat="false" ht="35.05" hidden="false" customHeight="false" outlineLevel="0" collapsed="false">
      <c r="A226" s="7" t="s">
        <v>1203</v>
      </c>
      <c r="B226" s="7" t="s">
        <v>28</v>
      </c>
      <c r="C226" s="7" t="s">
        <v>36</v>
      </c>
      <c r="D226" s="7" t="s">
        <v>1204</v>
      </c>
      <c r="E226" s="7" t="s">
        <v>46</v>
      </c>
      <c r="F226" s="7" t="s">
        <v>16</v>
      </c>
      <c r="G226" s="7"/>
      <c r="H226" s="7"/>
      <c r="I226" s="7" t="s">
        <v>1205</v>
      </c>
      <c r="J226" s="7" t="s">
        <v>1206</v>
      </c>
      <c r="K226" s="7" t="s">
        <v>1118</v>
      </c>
      <c r="L226" s="7"/>
      <c r="M226" s="7" t="s">
        <v>1180</v>
      </c>
      <c r="N226" s="7" t="s">
        <v>6</v>
      </c>
      <c r="O226" s="7"/>
      <c r="P226" s="7"/>
      <c r="Q226" s="7"/>
      <c r="R226" s="7"/>
      <c r="S226" s="7"/>
    </row>
    <row r="227" customFormat="false" ht="15" hidden="false" customHeight="false" outlineLevel="0" collapsed="false">
      <c r="A227" s="7" t="s">
        <v>1207</v>
      </c>
      <c r="B227" s="7" t="s">
        <v>28</v>
      </c>
      <c r="C227" s="7" t="s">
        <v>37</v>
      </c>
      <c r="D227" s="7" t="s">
        <v>1208</v>
      </c>
      <c r="E227" s="7" t="s">
        <v>42</v>
      </c>
      <c r="F227" s="7" t="s">
        <v>14</v>
      </c>
      <c r="G227" s="7"/>
      <c r="H227" s="7"/>
      <c r="I227" s="7" t="s">
        <v>1209</v>
      </c>
      <c r="J227" s="7" t="s">
        <v>1210</v>
      </c>
      <c r="K227" s="7" t="s">
        <v>1118</v>
      </c>
      <c r="L227" s="7" t="s">
        <v>225</v>
      </c>
      <c r="M227" s="7" t="s">
        <v>1211</v>
      </c>
      <c r="N227" s="7" t="s">
        <v>6</v>
      </c>
      <c r="O227" s="7"/>
      <c r="P227" s="7"/>
      <c r="Q227" s="7"/>
      <c r="R227" s="7"/>
      <c r="S227" s="7"/>
    </row>
    <row r="228" customFormat="false" ht="23.85" hidden="false" customHeight="false" outlineLevel="0" collapsed="false">
      <c r="A228" s="7" t="s">
        <v>1212</v>
      </c>
      <c r="B228" s="7" t="s">
        <v>28</v>
      </c>
      <c r="C228" s="7" t="s">
        <v>37</v>
      </c>
      <c r="D228" s="7" t="s">
        <v>1213</v>
      </c>
      <c r="E228" s="7" t="s">
        <v>43</v>
      </c>
      <c r="F228" s="7" t="s">
        <v>15</v>
      </c>
      <c r="G228" s="7"/>
      <c r="H228" s="7"/>
      <c r="I228" s="7" t="s">
        <v>1214</v>
      </c>
      <c r="J228" s="7" t="s">
        <v>1215</v>
      </c>
      <c r="K228" s="7" t="s">
        <v>1216</v>
      </c>
      <c r="L228" s="7"/>
      <c r="M228" s="7" t="s">
        <v>1211</v>
      </c>
      <c r="N228" s="7" t="s">
        <v>6</v>
      </c>
      <c r="O228" s="7"/>
      <c r="P228" s="7"/>
      <c r="Q228" s="7"/>
      <c r="R228" s="7"/>
      <c r="S228" s="7"/>
    </row>
    <row r="229" customFormat="false" ht="23.85" hidden="false" customHeight="false" outlineLevel="0" collapsed="false">
      <c r="A229" s="7" t="s">
        <v>1217</v>
      </c>
      <c r="B229" s="7" t="s">
        <v>29</v>
      </c>
      <c r="C229" s="7" t="s">
        <v>38</v>
      </c>
      <c r="D229" s="7" t="s">
        <v>1218</v>
      </c>
      <c r="E229" s="7" t="s">
        <v>42</v>
      </c>
      <c r="F229" s="7" t="s">
        <v>15</v>
      </c>
      <c r="G229" s="7" t="s">
        <v>1219</v>
      </c>
      <c r="H229" s="7"/>
      <c r="I229" s="7" t="s">
        <v>1220</v>
      </c>
      <c r="J229" s="7" t="s">
        <v>1221</v>
      </c>
      <c r="K229" s="7" t="s">
        <v>510</v>
      </c>
      <c r="L229" s="7" t="s">
        <v>1222</v>
      </c>
      <c r="M229" s="7" t="s">
        <v>1223</v>
      </c>
      <c r="N229" s="7" t="s">
        <v>6</v>
      </c>
      <c r="O229" s="7"/>
      <c r="P229" s="7"/>
      <c r="Q229" s="7"/>
      <c r="R229" s="7"/>
      <c r="S229" s="7"/>
    </row>
    <row r="230" customFormat="false" ht="23.85" hidden="false" customHeight="false" outlineLevel="0" collapsed="false">
      <c r="A230" s="7" t="s">
        <v>1224</v>
      </c>
      <c r="B230" s="7" t="s">
        <v>29</v>
      </c>
      <c r="C230" s="7" t="s">
        <v>38</v>
      </c>
      <c r="D230" s="7" t="s">
        <v>1225</v>
      </c>
      <c r="E230" s="7" t="s">
        <v>42</v>
      </c>
      <c r="F230" s="7" t="s">
        <v>15</v>
      </c>
      <c r="G230" s="7"/>
      <c r="H230" s="7"/>
      <c r="I230" s="7" t="s">
        <v>1226</v>
      </c>
      <c r="J230" s="7" t="s">
        <v>1227</v>
      </c>
      <c r="K230" s="7" t="s">
        <v>1118</v>
      </c>
      <c r="L230" s="7" t="s">
        <v>1222</v>
      </c>
      <c r="M230" s="7" t="s">
        <v>1223</v>
      </c>
      <c r="N230" s="7" t="s">
        <v>6</v>
      </c>
      <c r="O230" s="7"/>
      <c r="P230" s="7"/>
      <c r="Q230" s="7"/>
      <c r="R230" s="7"/>
      <c r="S230" s="7"/>
    </row>
    <row r="231" customFormat="false" ht="23.85" hidden="false" customHeight="false" outlineLevel="0" collapsed="false">
      <c r="A231" s="7" t="s">
        <v>1228</v>
      </c>
      <c r="B231" s="7" t="s">
        <v>29</v>
      </c>
      <c r="C231" s="7" t="s">
        <v>38</v>
      </c>
      <c r="D231" s="7" t="s">
        <v>1229</v>
      </c>
      <c r="E231" s="7" t="s">
        <v>42</v>
      </c>
      <c r="F231" s="7" t="s">
        <v>15</v>
      </c>
      <c r="G231" s="7"/>
      <c r="H231" s="7"/>
      <c r="I231" s="7" t="s">
        <v>1230</v>
      </c>
      <c r="J231" s="7" t="s">
        <v>1231</v>
      </c>
      <c r="K231" s="7" t="s">
        <v>881</v>
      </c>
      <c r="L231" s="7" t="s">
        <v>1222</v>
      </c>
      <c r="M231" s="7" t="s">
        <v>1223</v>
      </c>
      <c r="N231" s="7" t="s">
        <v>6</v>
      </c>
      <c r="O231" s="7"/>
      <c r="P231" s="7"/>
      <c r="Q231" s="7"/>
      <c r="R231" s="7"/>
      <c r="S231" s="7"/>
    </row>
    <row r="232" customFormat="false" ht="23.85" hidden="false" customHeight="false" outlineLevel="0" collapsed="false">
      <c r="A232" s="7" t="s">
        <v>1232</v>
      </c>
      <c r="B232" s="7" t="s">
        <v>29</v>
      </c>
      <c r="C232" s="7" t="s">
        <v>38</v>
      </c>
      <c r="D232" s="7" t="s">
        <v>1233</v>
      </c>
      <c r="E232" s="7" t="s">
        <v>42</v>
      </c>
      <c r="F232" s="7" t="s">
        <v>16</v>
      </c>
      <c r="G232" s="7"/>
      <c r="H232" s="7"/>
      <c r="I232" s="7" t="s">
        <v>1234</v>
      </c>
      <c r="J232" s="7" t="s">
        <v>1235</v>
      </c>
      <c r="K232" s="7" t="s">
        <v>1118</v>
      </c>
      <c r="L232" s="7" t="s">
        <v>1222</v>
      </c>
      <c r="M232" s="7" t="s">
        <v>1223</v>
      </c>
      <c r="N232" s="7" t="s">
        <v>6</v>
      </c>
      <c r="O232" s="7"/>
      <c r="P232" s="7"/>
      <c r="Q232" s="7"/>
      <c r="R232" s="7"/>
      <c r="S232" s="7"/>
    </row>
    <row r="233" customFormat="false" ht="23.85" hidden="false" customHeight="false" outlineLevel="0" collapsed="false">
      <c r="A233" s="7" t="s">
        <v>1236</v>
      </c>
      <c r="B233" s="7" t="s">
        <v>29</v>
      </c>
      <c r="C233" s="7" t="s">
        <v>38</v>
      </c>
      <c r="D233" s="7" t="s">
        <v>1237</v>
      </c>
      <c r="E233" s="7" t="s">
        <v>45</v>
      </c>
      <c r="F233" s="7" t="s">
        <v>15</v>
      </c>
      <c r="G233" s="7"/>
      <c r="H233" s="7"/>
      <c r="I233" s="7" t="s">
        <v>1238</v>
      </c>
      <c r="J233" s="7" t="s">
        <v>1239</v>
      </c>
      <c r="K233" s="7" t="s">
        <v>602</v>
      </c>
      <c r="L233" s="7" t="s">
        <v>1222</v>
      </c>
      <c r="M233" s="7" t="s">
        <v>1223</v>
      </c>
      <c r="N233" s="7" t="s">
        <v>6</v>
      </c>
      <c r="O233" s="7"/>
      <c r="P233" s="7"/>
      <c r="Q233" s="7"/>
      <c r="R233" s="7"/>
      <c r="S233" s="7"/>
    </row>
    <row r="234" customFormat="false" ht="23.85" hidden="false" customHeight="false" outlineLevel="0" collapsed="false">
      <c r="A234" s="7" t="s">
        <v>1240</v>
      </c>
      <c r="B234" s="7" t="s">
        <v>30</v>
      </c>
      <c r="C234" s="7" t="s">
        <v>36</v>
      </c>
      <c r="D234" s="7" t="s">
        <v>1241</v>
      </c>
      <c r="E234" s="7" t="s">
        <v>46</v>
      </c>
      <c r="F234" s="7" t="s">
        <v>15</v>
      </c>
      <c r="G234" s="7" t="s">
        <v>1242</v>
      </c>
      <c r="H234" s="7"/>
      <c r="I234" s="7" t="s">
        <v>1243</v>
      </c>
      <c r="J234" s="7" t="s">
        <v>1244</v>
      </c>
      <c r="K234" s="7" t="s">
        <v>510</v>
      </c>
      <c r="L234" s="7"/>
      <c r="M234" s="7" t="s">
        <v>1245</v>
      </c>
      <c r="N234" s="7" t="s">
        <v>6</v>
      </c>
      <c r="O234" s="7"/>
      <c r="P234" s="7"/>
      <c r="Q234" s="7"/>
      <c r="R234" s="7"/>
      <c r="S234" s="7"/>
    </row>
    <row r="235" customFormat="false" ht="23.85" hidden="false" customHeight="false" outlineLevel="0" collapsed="false">
      <c r="A235" s="7" t="s">
        <v>1246</v>
      </c>
      <c r="B235" s="7" t="s">
        <v>30</v>
      </c>
      <c r="C235" s="7" t="s">
        <v>36</v>
      </c>
      <c r="D235" s="7" t="s">
        <v>1247</v>
      </c>
      <c r="E235" s="7" t="s">
        <v>43</v>
      </c>
      <c r="F235" s="7" t="s">
        <v>15</v>
      </c>
      <c r="G235" s="7" t="s">
        <v>1248</v>
      </c>
      <c r="H235" s="7"/>
      <c r="I235" s="7" t="s">
        <v>1249</v>
      </c>
      <c r="J235" s="7" t="s">
        <v>1250</v>
      </c>
      <c r="K235" s="7" t="s">
        <v>510</v>
      </c>
      <c r="L235" s="7"/>
      <c r="M235" s="7" t="s">
        <v>1245</v>
      </c>
      <c r="N235" s="7" t="s">
        <v>6</v>
      </c>
      <c r="O235" s="7"/>
      <c r="P235" s="7"/>
      <c r="Q235" s="7"/>
      <c r="R235" s="7"/>
      <c r="S235" s="7"/>
    </row>
    <row r="236" customFormat="false" ht="68.65" hidden="false" customHeight="false" outlineLevel="0" collapsed="false">
      <c r="A236" s="7" t="s">
        <v>1251</v>
      </c>
      <c r="B236" s="7" t="s">
        <v>30</v>
      </c>
      <c r="C236" s="7" t="s">
        <v>36</v>
      </c>
      <c r="D236" s="7" t="s">
        <v>1252</v>
      </c>
      <c r="E236" s="7" t="s">
        <v>42</v>
      </c>
      <c r="F236" s="7" t="s">
        <v>16</v>
      </c>
      <c r="G236" s="7" t="s">
        <v>1253</v>
      </c>
      <c r="H236" s="7" t="s">
        <v>1254</v>
      </c>
      <c r="I236" s="7" t="s">
        <v>1255</v>
      </c>
      <c r="J236" s="7" t="s">
        <v>1256</v>
      </c>
      <c r="K236" s="7" t="s">
        <v>255</v>
      </c>
      <c r="L236" s="7"/>
      <c r="M236" s="7" t="s">
        <v>1245</v>
      </c>
      <c r="N236" s="7" t="s">
        <v>6</v>
      </c>
      <c r="O236" s="7"/>
      <c r="P236" s="7"/>
      <c r="Q236" s="7"/>
      <c r="R236" s="7"/>
      <c r="S236" s="7"/>
    </row>
    <row r="237" customFormat="false" ht="23.85" hidden="false" customHeight="false" outlineLevel="0" collapsed="false">
      <c r="A237" s="7" t="s">
        <v>1257</v>
      </c>
      <c r="B237" s="7" t="s">
        <v>30</v>
      </c>
      <c r="C237" s="7" t="s">
        <v>36</v>
      </c>
      <c r="D237" s="7" t="s">
        <v>1258</v>
      </c>
      <c r="E237" s="7" t="s">
        <v>46</v>
      </c>
      <c r="F237" s="7" t="s">
        <v>16</v>
      </c>
      <c r="G237" s="7"/>
      <c r="H237" s="7"/>
      <c r="I237" s="7" t="s">
        <v>1259</v>
      </c>
      <c r="J237" s="7" t="s">
        <v>1260</v>
      </c>
      <c r="K237" s="7" t="s">
        <v>510</v>
      </c>
      <c r="L237" s="7"/>
      <c r="M237" s="7" t="s">
        <v>1245</v>
      </c>
      <c r="N237" s="7" t="s">
        <v>6</v>
      </c>
      <c r="O237" s="7"/>
      <c r="P237" s="7"/>
      <c r="Q237" s="7"/>
      <c r="R237" s="7"/>
      <c r="S237" s="7"/>
    </row>
    <row r="238" customFormat="false" ht="23.85" hidden="false" customHeight="false" outlineLevel="0" collapsed="false">
      <c r="A238" s="7" t="s">
        <v>1261</v>
      </c>
      <c r="B238" s="7" t="s">
        <v>30</v>
      </c>
      <c r="C238" s="7" t="s">
        <v>36</v>
      </c>
      <c r="D238" s="7" t="s">
        <v>1262</v>
      </c>
      <c r="E238" s="7" t="s">
        <v>43</v>
      </c>
      <c r="F238" s="7" t="s">
        <v>16</v>
      </c>
      <c r="G238" s="7"/>
      <c r="H238" s="7"/>
      <c r="I238" s="7" t="s">
        <v>1263</v>
      </c>
      <c r="J238" s="7" t="s">
        <v>1264</v>
      </c>
      <c r="K238" s="7" t="s">
        <v>510</v>
      </c>
      <c r="L238" s="7"/>
      <c r="M238" s="7" t="s">
        <v>1245</v>
      </c>
      <c r="N238" s="7" t="s">
        <v>6</v>
      </c>
      <c r="O238" s="7"/>
      <c r="P238" s="7"/>
      <c r="Q238" s="7"/>
      <c r="R238" s="7"/>
      <c r="S238" s="7"/>
    </row>
    <row r="239" customFormat="false" ht="102.2" hidden="false" customHeight="false" outlineLevel="0" collapsed="false">
      <c r="A239" s="7" t="s">
        <v>1265</v>
      </c>
      <c r="B239" s="7" t="s">
        <v>31</v>
      </c>
      <c r="C239" s="7" t="s">
        <v>39</v>
      </c>
      <c r="D239" s="7" t="s">
        <v>1266</v>
      </c>
      <c r="E239" s="7" t="s">
        <v>31</v>
      </c>
      <c r="F239" s="7" t="s">
        <v>14</v>
      </c>
      <c r="G239" s="7" t="s">
        <v>1267</v>
      </c>
      <c r="H239" s="7" t="s">
        <v>83</v>
      </c>
      <c r="I239" s="7" t="s">
        <v>1268</v>
      </c>
      <c r="J239" s="7" t="s">
        <v>1269</v>
      </c>
      <c r="K239" s="7" t="s">
        <v>1270</v>
      </c>
      <c r="L239" s="7"/>
      <c r="M239" s="7" t="s">
        <v>1271</v>
      </c>
      <c r="N239" s="7" t="s">
        <v>6</v>
      </c>
      <c r="O239" s="7"/>
      <c r="P239" s="7"/>
      <c r="Q239" s="7"/>
      <c r="R239" s="7"/>
      <c r="S239" s="7"/>
    </row>
    <row r="240" customFormat="false" ht="23.85" hidden="false" customHeight="false" outlineLevel="0" collapsed="false">
      <c r="A240" s="7" t="s">
        <v>1272</v>
      </c>
      <c r="B240" s="7" t="s">
        <v>31</v>
      </c>
      <c r="C240" s="7" t="s">
        <v>39</v>
      </c>
      <c r="D240" s="7" t="s">
        <v>1273</v>
      </c>
      <c r="E240" s="7" t="s">
        <v>31</v>
      </c>
      <c r="F240" s="7" t="s">
        <v>14</v>
      </c>
      <c r="G240" s="7"/>
      <c r="H240" s="7" t="s">
        <v>83</v>
      </c>
      <c r="I240" s="7" t="s">
        <v>1274</v>
      </c>
      <c r="J240" s="7" t="s">
        <v>1275</v>
      </c>
      <c r="K240" s="7" t="s">
        <v>1276</v>
      </c>
      <c r="L240" s="7"/>
      <c r="M240" s="7" t="s">
        <v>1271</v>
      </c>
      <c r="N240" s="7" t="s">
        <v>6</v>
      </c>
      <c r="O240" s="7"/>
      <c r="P240" s="7"/>
      <c r="Q240" s="7"/>
      <c r="R240" s="7"/>
      <c r="S240" s="7"/>
    </row>
    <row r="241" customFormat="false" ht="46.25" hidden="false" customHeight="false" outlineLevel="0" collapsed="false">
      <c r="A241" s="7" t="s">
        <v>1277</v>
      </c>
      <c r="B241" s="7" t="s">
        <v>31</v>
      </c>
      <c r="C241" s="7" t="s">
        <v>39</v>
      </c>
      <c r="D241" s="7" t="s">
        <v>1278</v>
      </c>
      <c r="E241" s="7" t="s">
        <v>31</v>
      </c>
      <c r="F241" s="7" t="s">
        <v>14</v>
      </c>
      <c r="G241" s="7"/>
      <c r="H241" s="7" t="s">
        <v>266</v>
      </c>
      <c r="I241" s="7" t="s">
        <v>1279</v>
      </c>
      <c r="J241" s="7" t="s">
        <v>1280</v>
      </c>
      <c r="K241" s="7" t="s">
        <v>510</v>
      </c>
      <c r="L241" s="7"/>
      <c r="M241" s="7" t="s">
        <v>1271</v>
      </c>
      <c r="N241" s="7" t="s">
        <v>6</v>
      </c>
      <c r="O241" s="7"/>
      <c r="P241" s="7"/>
      <c r="Q241" s="7"/>
      <c r="R241" s="7"/>
      <c r="S241" s="7"/>
    </row>
    <row r="242" customFormat="false" ht="57.45" hidden="false" customHeight="false" outlineLevel="0" collapsed="false">
      <c r="A242" s="7" t="s">
        <v>1281</v>
      </c>
      <c r="B242" s="7" t="s">
        <v>31</v>
      </c>
      <c r="C242" s="7" t="s">
        <v>39</v>
      </c>
      <c r="D242" s="7" t="s">
        <v>1282</v>
      </c>
      <c r="E242" s="7" t="s">
        <v>31</v>
      </c>
      <c r="F242" s="7" t="s">
        <v>14</v>
      </c>
      <c r="G242" s="7"/>
      <c r="H242" s="7" t="s">
        <v>83</v>
      </c>
      <c r="I242" s="7" t="s">
        <v>1283</v>
      </c>
      <c r="J242" s="7" t="s">
        <v>1284</v>
      </c>
      <c r="K242" s="7" t="s">
        <v>510</v>
      </c>
      <c r="L242" s="7"/>
      <c r="M242" s="7" t="s">
        <v>1271</v>
      </c>
      <c r="N242" s="7" t="s">
        <v>6</v>
      </c>
      <c r="O242" s="7"/>
      <c r="P242" s="7"/>
      <c r="Q242" s="7"/>
      <c r="R242" s="7"/>
      <c r="S242" s="7"/>
    </row>
    <row r="243" customFormat="false" ht="35.05" hidden="false" customHeight="false" outlineLevel="0" collapsed="false">
      <c r="A243" s="7" t="s">
        <v>1285</v>
      </c>
      <c r="B243" s="7" t="s">
        <v>31</v>
      </c>
      <c r="C243" s="7" t="s">
        <v>39</v>
      </c>
      <c r="D243" s="7" t="s">
        <v>1286</v>
      </c>
      <c r="E243" s="7" t="s">
        <v>31</v>
      </c>
      <c r="F243" s="7" t="s">
        <v>15</v>
      </c>
      <c r="G243" s="7"/>
      <c r="H243" s="7" t="s">
        <v>260</v>
      </c>
      <c r="I243" s="7" t="s">
        <v>1287</v>
      </c>
      <c r="J243" s="7" t="s">
        <v>1288</v>
      </c>
      <c r="K243" s="7" t="s">
        <v>255</v>
      </c>
      <c r="L243" s="7"/>
      <c r="M243" s="7" t="s">
        <v>1271</v>
      </c>
      <c r="N243" s="7" t="s">
        <v>6</v>
      </c>
      <c r="O243" s="7"/>
      <c r="P243" s="7"/>
      <c r="Q243" s="7"/>
      <c r="R243" s="7"/>
      <c r="S243" s="7"/>
    </row>
    <row r="244" customFormat="false" ht="23.85" hidden="false" customHeight="false" outlineLevel="0" collapsed="false">
      <c r="A244" s="7" t="s">
        <v>1289</v>
      </c>
      <c r="B244" s="7" t="s">
        <v>31</v>
      </c>
      <c r="C244" s="7" t="s">
        <v>39</v>
      </c>
      <c r="D244" s="7" t="s">
        <v>1290</v>
      </c>
      <c r="E244" s="7" t="s">
        <v>31</v>
      </c>
      <c r="F244" s="7" t="s">
        <v>15</v>
      </c>
      <c r="G244" s="7"/>
      <c r="H244" s="7" t="s">
        <v>83</v>
      </c>
      <c r="I244" s="7" t="s">
        <v>1291</v>
      </c>
      <c r="J244" s="7" t="s">
        <v>1292</v>
      </c>
      <c r="K244" s="7" t="s">
        <v>1118</v>
      </c>
      <c r="L244" s="7"/>
      <c r="M244" s="7" t="s">
        <v>1271</v>
      </c>
      <c r="N244" s="7" t="s">
        <v>6</v>
      </c>
      <c r="O244" s="7"/>
      <c r="P244" s="7"/>
      <c r="Q244" s="7"/>
      <c r="R244" s="7"/>
      <c r="S244" s="7"/>
    </row>
    <row r="245" customFormat="false" ht="35.05" hidden="false" customHeight="false" outlineLevel="0" collapsed="false">
      <c r="A245" s="7" t="s">
        <v>1293</v>
      </c>
      <c r="B245" s="7" t="s">
        <v>31</v>
      </c>
      <c r="C245" s="7" t="s">
        <v>39</v>
      </c>
      <c r="D245" s="7" t="s">
        <v>1294</v>
      </c>
      <c r="E245" s="7" t="s">
        <v>31</v>
      </c>
      <c r="F245" s="7" t="s">
        <v>15</v>
      </c>
      <c r="G245" s="7"/>
      <c r="H245" s="7" t="s">
        <v>273</v>
      </c>
      <c r="I245" s="7" t="s">
        <v>1295</v>
      </c>
      <c r="J245" s="7" t="s">
        <v>1296</v>
      </c>
      <c r="K245" s="7" t="s">
        <v>1112</v>
      </c>
      <c r="L245" s="7"/>
      <c r="M245" s="7" t="s">
        <v>1271</v>
      </c>
      <c r="N245" s="7" t="s">
        <v>6</v>
      </c>
      <c r="O245" s="7"/>
      <c r="P245" s="7"/>
      <c r="Q245" s="7"/>
      <c r="R245" s="7"/>
      <c r="S245" s="7"/>
    </row>
    <row r="246" customFormat="false" ht="57.45" hidden="false" customHeight="false" outlineLevel="0" collapsed="false">
      <c r="A246" s="7" t="s">
        <v>1297</v>
      </c>
      <c r="B246" s="7" t="s">
        <v>31</v>
      </c>
      <c r="C246" s="7" t="s">
        <v>39</v>
      </c>
      <c r="D246" s="7" t="s">
        <v>1298</v>
      </c>
      <c r="E246" s="7" t="s">
        <v>31</v>
      </c>
      <c r="F246" s="7" t="s">
        <v>14</v>
      </c>
      <c r="G246" s="7"/>
      <c r="H246" s="7" t="s">
        <v>83</v>
      </c>
      <c r="I246" s="7" t="s">
        <v>1299</v>
      </c>
      <c r="J246" s="7" t="s">
        <v>1300</v>
      </c>
      <c r="K246" s="7" t="s">
        <v>1270</v>
      </c>
      <c r="L246" s="7"/>
      <c r="M246" s="7" t="s">
        <v>1271</v>
      </c>
      <c r="N246" s="7" t="s">
        <v>6</v>
      </c>
      <c r="O246" s="7"/>
      <c r="P246" s="7"/>
      <c r="Q246" s="7"/>
      <c r="R246" s="7"/>
      <c r="S246" s="7"/>
    </row>
    <row r="247" customFormat="false" ht="15" hidden="false" customHeight="false" outlineLevel="0" collapsed="false">
      <c r="A247" s="7" t="s">
        <v>1301</v>
      </c>
      <c r="B247" s="7" t="s">
        <v>32</v>
      </c>
      <c r="C247" s="7" t="s">
        <v>37</v>
      </c>
      <c r="D247" s="7" t="s">
        <v>1302</v>
      </c>
      <c r="E247" s="7" t="s">
        <v>42</v>
      </c>
      <c r="F247" s="7" t="s">
        <v>15</v>
      </c>
      <c r="G247" s="7"/>
      <c r="H247" s="7"/>
      <c r="I247" s="7" t="s">
        <v>1303</v>
      </c>
      <c r="J247" s="7" t="s">
        <v>1304</v>
      </c>
      <c r="K247" s="7" t="s">
        <v>68</v>
      </c>
      <c r="L247" s="7" t="s">
        <v>1305</v>
      </c>
      <c r="M247" s="7" t="s">
        <v>1306</v>
      </c>
      <c r="N247" s="7" t="s">
        <v>6</v>
      </c>
      <c r="O247" s="7"/>
      <c r="P247" s="7"/>
      <c r="Q247" s="7"/>
      <c r="R247" s="7"/>
      <c r="S247" s="7"/>
    </row>
    <row r="248" customFormat="false" ht="15" hidden="false" customHeight="false" outlineLevel="0" collapsed="false">
      <c r="A248" s="7" t="s">
        <v>1307</v>
      </c>
      <c r="B248" s="7" t="s">
        <v>32</v>
      </c>
      <c r="C248" s="7" t="s">
        <v>37</v>
      </c>
      <c r="D248" s="7" t="s">
        <v>1308</v>
      </c>
      <c r="E248" s="7" t="s">
        <v>43</v>
      </c>
      <c r="F248" s="7" t="s">
        <v>16</v>
      </c>
      <c r="G248" s="7"/>
      <c r="H248" s="7"/>
      <c r="I248" s="7" t="s">
        <v>1309</v>
      </c>
      <c r="J248" s="7" t="s">
        <v>1063</v>
      </c>
      <c r="K248" s="7" t="s">
        <v>68</v>
      </c>
      <c r="L248" s="7"/>
      <c r="M248" s="7" t="s">
        <v>1306</v>
      </c>
      <c r="N248" s="7" t="s">
        <v>6</v>
      </c>
      <c r="O248" s="7"/>
      <c r="P248" s="7"/>
      <c r="Q248" s="7"/>
      <c r="R248" s="7"/>
      <c r="S248" s="7"/>
    </row>
    <row r="249" customFormat="false" ht="15" hidden="false" customHeight="false" outlineLevel="0" collapsed="false">
      <c r="A249" s="7" t="s">
        <v>1310</v>
      </c>
      <c r="B249" s="7" t="s">
        <v>32</v>
      </c>
      <c r="C249" s="7" t="s">
        <v>37</v>
      </c>
      <c r="D249" s="7" t="s">
        <v>1311</v>
      </c>
      <c r="E249" s="7" t="s">
        <v>43</v>
      </c>
      <c r="F249" s="7" t="s">
        <v>17</v>
      </c>
      <c r="G249" s="7"/>
      <c r="H249" s="7"/>
      <c r="I249" s="7" t="s">
        <v>1312</v>
      </c>
      <c r="J249" s="7" t="s">
        <v>1313</v>
      </c>
      <c r="K249" s="7" t="s">
        <v>68</v>
      </c>
      <c r="L249" s="7"/>
      <c r="M249" s="7" t="s">
        <v>1306</v>
      </c>
      <c r="N249" s="7" t="s">
        <v>6</v>
      </c>
      <c r="O249" s="7"/>
      <c r="P249" s="7"/>
      <c r="Q249" s="7"/>
      <c r="R249" s="7"/>
      <c r="S249" s="7"/>
    </row>
    <row r="250" customFormat="false" ht="15" hidden="false" customHeight="false" outlineLevel="0" collapsed="false">
      <c r="A250" s="7" t="s">
        <v>1314</v>
      </c>
      <c r="B250" s="7" t="s">
        <v>32</v>
      </c>
      <c r="C250" s="7" t="s">
        <v>37</v>
      </c>
      <c r="D250" s="7" t="s">
        <v>1315</v>
      </c>
      <c r="E250" s="7" t="s">
        <v>42</v>
      </c>
      <c r="F250" s="7" t="s">
        <v>15</v>
      </c>
      <c r="G250" s="7"/>
      <c r="H250" s="7"/>
      <c r="I250" s="7" t="s">
        <v>1316</v>
      </c>
      <c r="J250" s="7" t="s">
        <v>1317</v>
      </c>
      <c r="K250" s="7" t="s">
        <v>1118</v>
      </c>
      <c r="L250" s="7" t="s">
        <v>1318</v>
      </c>
      <c r="M250" s="7" t="s">
        <v>1306</v>
      </c>
      <c r="N250" s="7" t="s">
        <v>6</v>
      </c>
      <c r="O250" s="7"/>
      <c r="P250" s="7"/>
      <c r="Q250" s="7"/>
      <c r="R250" s="7"/>
      <c r="S250" s="7"/>
    </row>
    <row r="251" customFormat="false" ht="15" hidden="false" customHeight="false" outlineLevel="0" collapsed="false">
      <c r="A251" s="7" t="s">
        <v>1319</v>
      </c>
      <c r="B251" s="7" t="s">
        <v>32</v>
      </c>
      <c r="C251" s="7" t="s">
        <v>37</v>
      </c>
      <c r="D251" s="7" t="s">
        <v>1320</v>
      </c>
      <c r="E251" s="7" t="s">
        <v>45</v>
      </c>
      <c r="F251" s="7" t="s">
        <v>15</v>
      </c>
      <c r="G251" s="7"/>
      <c r="H251" s="7"/>
      <c r="I251" s="7" t="s">
        <v>1321</v>
      </c>
      <c r="J251" s="7" t="s">
        <v>1322</v>
      </c>
      <c r="K251" s="7" t="s">
        <v>68</v>
      </c>
      <c r="L251" s="7"/>
      <c r="M251" s="7" t="s">
        <v>1306</v>
      </c>
      <c r="N251" s="7" t="s">
        <v>6</v>
      </c>
      <c r="O251" s="7"/>
      <c r="P251" s="7"/>
      <c r="Q251" s="7"/>
      <c r="R251" s="7"/>
      <c r="S251" s="7"/>
    </row>
    <row r="252" customFormat="false" ht="15" hidden="false" customHeight="false" outlineLevel="0" collapsed="false">
      <c r="A252" s="7" t="s">
        <v>1323</v>
      </c>
      <c r="B252" s="7" t="s">
        <v>32</v>
      </c>
      <c r="C252" s="7" t="s">
        <v>37</v>
      </c>
      <c r="D252" s="7" t="s">
        <v>1324</v>
      </c>
      <c r="E252" s="7" t="s">
        <v>42</v>
      </c>
      <c r="F252" s="7" t="s">
        <v>17</v>
      </c>
      <c r="G252" s="7"/>
      <c r="H252" s="7"/>
      <c r="I252" s="7" t="s">
        <v>1325</v>
      </c>
      <c r="J252" s="7" t="s">
        <v>1326</v>
      </c>
      <c r="K252" s="7" t="s">
        <v>1327</v>
      </c>
      <c r="L252" s="7" t="s">
        <v>1328</v>
      </c>
      <c r="M252" s="7" t="s">
        <v>1306</v>
      </c>
      <c r="N252" s="7" t="s">
        <v>6</v>
      </c>
      <c r="O252" s="7"/>
      <c r="P252" s="7"/>
      <c r="Q252" s="7"/>
      <c r="R252" s="7"/>
      <c r="S252" s="7"/>
    </row>
    <row r="253" customFormat="false" ht="23.85" hidden="false" customHeight="false" outlineLevel="0" collapsed="false">
      <c r="A253" s="7" t="s">
        <v>1329</v>
      </c>
      <c r="B253" s="7" t="s">
        <v>33</v>
      </c>
      <c r="C253" s="7" t="s">
        <v>36</v>
      </c>
      <c r="D253" s="7" t="s">
        <v>1330</v>
      </c>
      <c r="E253" s="7" t="s">
        <v>42</v>
      </c>
      <c r="F253" s="7" t="s">
        <v>16</v>
      </c>
      <c r="G253" s="7"/>
      <c r="H253" s="7" t="s">
        <v>1331</v>
      </c>
      <c r="I253" s="7" t="s">
        <v>1332</v>
      </c>
      <c r="J253" s="7" t="s">
        <v>1333</v>
      </c>
      <c r="K253" s="7" t="s">
        <v>1334</v>
      </c>
      <c r="L253" s="7" t="s">
        <v>1335</v>
      </c>
      <c r="M253" s="7" t="s">
        <v>1336</v>
      </c>
      <c r="N253" s="7" t="s">
        <v>6</v>
      </c>
      <c r="O253" s="7"/>
      <c r="P253" s="7"/>
      <c r="Q253" s="7"/>
      <c r="R253" s="7"/>
      <c r="S253" s="7"/>
    </row>
    <row r="254" customFormat="false" ht="23.85" hidden="false" customHeight="false" outlineLevel="0" collapsed="false">
      <c r="A254" s="7" t="s">
        <v>1337</v>
      </c>
      <c r="B254" s="7" t="s">
        <v>33</v>
      </c>
      <c r="C254" s="7" t="s">
        <v>36</v>
      </c>
      <c r="D254" s="7" t="s">
        <v>1338</v>
      </c>
      <c r="E254" s="7" t="s">
        <v>42</v>
      </c>
      <c r="F254" s="7" t="s">
        <v>17</v>
      </c>
      <c r="G254" s="7"/>
      <c r="H254" s="7" t="s">
        <v>1339</v>
      </c>
      <c r="I254" s="7" t="s">
        <v>1340</v>
      </c>
      <c r="J254" s="7" t="s">
        <v>1341</v>
      </c>
      <c r="K254" s="7" t="s">
        <v>1334</v>
      </c>
      <c r="L254" s="7"/>
      <c r="M254" s="7" t="s">
        <v>1336</v>
      </c>
      <c r="N254" s="7" t="s">
        <v>6</v>
      </c>
      <c r="O254" s="7"/>
      <c r="P254" s="7"/>
      <c r="Q254" s="7"/>
      <c r="R254" s="7"/>
      <c r="S254" s="7"/>
    </row>
    <row r="255" customFormat="false" ht="23.85" hidden="false" customHeight="false" outlineLevel="0" collapsed="false">
      <c r="A255" s="7" t="s">
        <v>1342</v>
      </c>
      <c r="B255" s="7" t="s">
        <v>33</v>
      </c>
      <c r="C255" s="7" t="s">
        <v>36</v>
      </c>
      <c r="D255" s="7" t="s">
        <v>1343</v>
      </c>
      <c r="E255" s="7" t="s">
        <v>42</v>
      </c>
      <c r="F255" s="7" t="s">
        <v>16</v>
      </c>
      <c r="G255" s="7"/>
      <c r="H255" s="7"/>
      <c r="I255" s="7" t="s">
        <v>1344</v>
      </c>
      <c r="J255" s="7" t="s">
        <v>1345</v>
      </c>
      <c r="K255" s="7" t="s">
        <v>1334</v>
      </c>
      <c r="L255" s="7"/>
      <c r="M255" s="7" t="s">
        <v>1336</v>
      </c>
      <c r="N255" s="7" t="s">
        <v>6</v>
      </c>
      <c r="O255" s="7"/>
      <c r="P255" s="7"/>
      <c r="Q255" s="7"/>
      <c r="R255" s="7"/>
      <c r="S255" s="7"/>
    </row>
    <row r="256" customFormat="false" ht="23.85" hidden="false" customHeight="false" outlineLevel="0" collapsed="false">
      <c r="A256" s="7" t="s">
        <v>1346</v>
      </c>
      <c r="B256" s="7" t="s">
        <v>33</v>
      </c>
      <c r="C256" s="7" t="s">
        <v>36</v>
      </c>
      <c r="D256" s="7" t="s">
        <v>1347</v>
      </c>
      <c r="E256" s="7" t="s">
        <v>42</v>
      </c>
      <c r="F256" s="7" t="s">
        <v>16</v>
      </c>
      <c r="G256" s="7"/>
      <c r="H256" s="7" t="s">
        <v>1348</v>
      </c>
      <c r="I256" s="7" t="s">
        <v>1349</v>
      </c>
      <c r="J256" s="7" t="s">
        <v>1350</v>
      </c>
      <c r="K256" s="7" t="s">
        <v>1351</v>
      </c>
      <c r="L256" s="7"/>
      <c r="M256" s="7" t="s">
        <v>1336</v>
      </c>
      <c r="N256" s="7" t="s">
        <v>6</v>
      </c>
      <c r="O256" s="7"/>
      <c r="P256" s="7"/>
      <c r="Q256" s="7"/>
      <c r="R256" s="7"/>
      <c r="S256" s="7"/>
    </row>
    <row r="257" customFormat="false" ht="23.85" hidden="false" customHeight="false" outlineLevel="0" collapsed="false">
      <c r="A257" s="7" t="s">
        <v>1352</v>
      </c>
      <c r="B257" s="7" t="s">
        <v>33</v>
      </c>
      <c r="C257" s="7" t="s">
        <v>36</v>
      </c>
      <c r="D257" s="7" t="s">
        <v>1353</v>
      </c>
      <c r="E257" s="7" t="s">
        <v>42</v>
      </c>
      <c r="F257" s="7" t="s">
        <v>16</v>
      </c>
      <c r="G257" s="7"/>
      <c r="H257" s="7"/>
      <c r="I257" s="7" t="s">
        <v>1354</v>
      </c>
      <c r="J257" s="7" t="s">
        <v>1355</v>
      </c>
      <c r="K257" s="7" t="s">
        <v>1327</v>
      </c>
      <c r="L257" s="7" t="s">
        <v>1356</v>
      </c>
      <c r="M257" s="7" t="s">
        <v>1336</v>
      </c>
      <c r="N257" s="7" t="s">
        <v>6</v>
      </c>
      <c r="O257" s="7"/>
      <c r="P257" s="7"/>
      <c r="Q257" s="7"/>
      <c r="R257" s="7"/>
      <c r="S257" s="7"/>
    </row>
    <row r="258" customFormat="false" ht="23.85" hidden="false" customHeight="false" outlineLevel="0" collapsed="false">
      <c r="A258" s="7" t="s">
        <v>1357</v>
      </c>
      <c r="B258" s="7" t="s">
        <v>33</v>
      </c>
      <c r="C258" s="7" t="s">
        <v>36</v>
      </c>
      <c r="D258" s="7" t="s">
        <v>1358</v>
      </c>
      <c r="E258" s="7" t="s">
        <v>45</v>
      </c>
      <c r="F258" s="7" t="s">
        <v>16</v>
      </c>
      <c r="G258" s="7"/>
      <c r="H258" s="7" t="s">
        <v>1359</v>
      </c>
      <c r="I258" s="7" t="s">
        <v>1360</v>
      </c>
      <c r="J258" s="7" t="s">
        <v>1361</v>
      </c>
      <c r="K258" s="7" t="s">
        <v>68</v>
      </c>
      <c r="L258" s="7"/>
      <c r="M258" s="7" t="s">
        <v>1336</v>
      </c>
      <c r="N258" s="7" t="s">
        <v>6</v>
      </c>
      <c r="O258" s="7"/>
      <c r="P258" s="7"/>
      <c r="Q258" s="7"/>
      <c r="R258" s="7"/>
      <c r="S258" s="7"/>
    </row>
  </sheetData>
  <autoFilter ref="A1:S258"/>
  <conditionalFormatting sqref="N2:N258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"N/A"</formula>
    </cfRule>
  </conditionalFormatting>
  <conditionalFormatting sqref="F2:F258">
    <cfRule type="cellIs" priority="6" operator="equal" aboveAverage="0" equalAverage="0" bottom="0" percent="0" rank="0" text="" dxfId="9">
      <formula>"Critical"</formula>
    </cfRule>
    <cfRule type="cellIs" priority="7" operator="equal" aboveAverage="0" equalAverage="0" bottom="0" percent="0" rank="0" text="" dxfId="10">
      <formula>"High"</formula>
    </cfRule>
  </conditionalFormatting>
  <dataValidations count="1">
    <dataValidation allowBlank="false" errorStyle="stop" operator="between" showDropDown="false" showErrorMessage="false" showInputMessage="false" sqref="N2:N258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 t="s">
        <v>1362</v>
      </c>
      <c r="B1" s="5" t="s">
        <v>1363</v>
      </c>
      <c r="C1" s="5" t="s">
        <v>1364</v>
      </c>
    </row>
    <row r="2" customFormat="false" ht="15" hidden="false" customHeight="false" outlineLevel="0" collapsed="false">
      <c r="A2" s="7" t="s">
        <v>1365</v>
      </c>
      <c r="B2" s="7" t="s">
        <v>1366</v>
      </c>
      <c r="C2" s="7" t="s">
        <v>1367</v>
      </c>
    </row>
    <row r="3" customFormat="false" ht="15" hidden="false" customHeight="false" outlineLevel="0" collapsed="false">
      <c r="A3" s="7" t="s">
        <v>1368</v>
      </c>
      <c r="B3" s="7" t="s">
        <v>1369</v>
      </c>
      <c r="C3" s="7" t="s">
        <v>1370</v>
      </c>
    </row>
    <row r="4" customFormat="false" ht="15" hidden="false" customHeight="false" outlineLevel="0" collapsed="false">
      <c r="A4" s="7" t="s">
        <v>1371</v>
      </c>
      <c r="B4" s="7" t="s">
        <v>218</v>
      </c>
      <c r="C4" s="7" t="s">
        <v>1372</v>
      </c>
    </row>
    <row r="5" customFormat="false" ht="15" hidden="false" customHeight="false" outlineLevel="0" collapsed="false">
      <c r="A5" s="7" t="s">
        <v>1373</v>
      </c>
      <c r="B5" s="7" t="s">
        <v>1374</v>
      </c>
      <c r="C5" s="7" t="s">
        <v>1375</v>
      </c>
    </row>
    <row r="6" customFormat="false" ht="15" hidden="false" customHeight="false" outlineLevel="0" collapsed="false">
      <c r="A6" s="7" t="s">
        <v>83</v>
      </c>
      <c r="B6" s="7" t="s">
        <v>1376</v>
      </c>
      <c r="C6" s="7" t="s">
        <v>1377</v>
      </c>
    </row>
    <row r="7" customFormat="false" ht="15" hidden="false" customHeight="false" outlineLevel="0" collapsed="false">
      <c r="A7" s="7" t="s">
        <v>260</v>
      </c>
      <c r="B7" s="7" t="s">
        <v>259</v>
      </c>
      <c r="C7" s="7" t="s">
        <v>1378</v>
      </c>
    </row>
    <row r="8" customFormat="false" ht="15" hidden="false" customHeight="false" outlineLevel="0" collapsed="false">
      <c r="A8" s="7" t="s">
        <v>266</v>
      </c>
      <c r="B8" s="7" t="s">
        <v>1379</v>
      </c>
      <c r="C8" s="7" t="s">
        <v>1380</v>
      </c>
    </row>
    <row r="9" customFormat="false" ht="15" hidden="false" customHeight="false" outlineLevel="0" collapsed="false">
      <c r="A9" s="7" t="s">
        <v>273</v>
      </c>
      <c r="B9" s="7" t="s">
        <v>1381</v>
      </c>
      <c r="C9" s="7" t="s">
        <v>1382</v>
      </c>
    </row>
    <row r="10" customFormat="false" ht="15" hidden="false" customHeight="false" outlineLevel="0" collapsed="false">
      <c r="A10" s="7" t="s">
        <v>1383</v>
      </c>
      <c r="B10" s="7" t="s">
        <v>1384</v>
      </c>
      <c r="C10" s="7" t="s">
        <v>1385</v>
      </c>
    </row>
    <row r="11" customFormat="false" ht="23.85" hidden="false" customHeight="false" outlineLevel="0" collapsed="false">
      <c r="A11" s="7" t="s">
        <v>1386</v>
      </c>
      <c r="B11" s="7" t="s">
        <v>1387</v>
      </c>
      <c r="C11" s="7" t="s">
        <v>1388</v>
      </c>
    </row>
    <row r="12" customFormat="false" ht="15" hidden="false" customHeight="false" outlineLevel="0" collapsed="false">
      <c r="A12" s="7" t="s">
        <v>1389</v>
      </c>
      <c r="B12" s="7" t="s">
        <v>1390</v>
      </c>
      <c r="C12" s="7" t="s">
        <v>1391</v>
      </c>
    </row>
    <row r="13" customFormat="false" ht="23.85" hidden="false" customHeight="false" outlineLevel="0" collapsed="false">
      <c r="A13" s="7" t="s">
        <v>1392</v>
      </c>
      <c r="B13" s="7" t="s">
        <v>1393</v>
      </c>
      <c r="C13" s="7" t="s">
        <v>1394</v>
      </c>
    </row>
    <row r="14" customFormat="false" ht="15" hidden="false" customHeight="false" outlineLevel="0" collapsed="false">
      <c r="A14" s="7" t="s">
        <v>1395</v>
      </c>
      <c r="B14" s="7" t="s">
        <v>1396</v>
      </c>
      <c r="C14" s="7" t="s">
        <v>1397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55"/>
    <col collapsed="false" customWidth="true" hidden="false" outlineLevel="0" max="5" min="5" style="0" width="11"/>
    <col collapsed="false" customWidth="true" hidden="false" outlineLevel="0" max="6" min="6" style="0" width="100"/>
  </cols>
  <sheetData>
    <row r="1" customFormat="false" ht="23.85" hidden="false" customHeight="false" outlineLevel="0" collapsed="false">
      <c r="A1" s="5" t="s">
        <v>1398</v>
      </c>
      <c r="B1" s="5" t="s">
        <v>1399</v>
      </c>
      <c r="C1" s="5" t="s">
        <v>49</v>
      </c>
      <c r="D1" s="5" t="s">
        <v>1400</v>
      </c>
      <c r="E1" s="5" t="s">
        <v>1401</v>
      </c>
      <c r="F1" s="5" t="s">
        <v>1402</v>
      </c>
    </row>
    <row r="2" customFormat="false" ht="46.25" hidden="false" customHeight="false" outlineLevel="0" collapsed="false">
      <c r="A2" s="7" t="s">
        <v>68</v>
      </c>
      <c r="B2" s="7" t="s">
        <v>18</v>
      </c>
      <c r="C2" s="7" t="s">
        <v>14</v>
      </c>
      <c r="D2" s="7" t="s">
        <v>1403</v>
      </c>
      <c r="E2" s="7" t="n">
        <f aca="false">COUNTIF('Test Cases'!$K:$K,"*R01*")+COUNTIF('Test Cases'!$K:$K,"All")</f>
        <v>42</v>
      </c>
      <c r="F2" s="7" t="s">
        <v>1404</v>
      </c>
    </row>
    <row r="3" customFormat="false" ht="46.25" hidden="false" customHeight="false" outlineLevel="0" collapsed="false">
      <c r="A3" s="7" t="s">
        <v>255</v>
      </c>
      <c r="B3" s="7" t="s">
        <v>19</v>
      </c>
      <c r="C3" s="7" t="s">
        <v>15</v>
      </c>
      <c r="D3" s="7" t="s">
        <v>1405</v>
      </c>
      <c r="E3" s="7" t="n">
        <f aca="false">COUNTIF('Test Cases'!$K:$K,"*R02*")+COUNTIF('Test Cases'!$K:$K,"All")</f>
        <v>32</v>
      </c>
      <c r="F3" s="7" t="s">
        <v>1406</v>
      </c>
    </row>
    <row r="4" customFormat="false" ht="35.05" hidden="false" customHeight="false" outlineLevel="0" collapsed="false">
      <c r="A4" s="7" t="s">
        <v>380</v>
      </c>
      <c r="B4" s="7" t="s">
        <v>1407</v>
      </c>
      <c r="C4" s="7" t="s">
        <v>14</v>
      </c>
      <c r="D4" s="7" t="s">
        <v>1408</v>
      </c>
      <c r="E4" s="7" t="n">
        <f aca="false">COUNTIF('Test Cases'!$K:$K,"*R03*")+COUNTIF('Test Cases'!$K:$K,"All")</f>
        <v>27</v>
      </c>
      <c r="F4" s="7" t="s">
        <v>1409</v>
      </c>
    </row>
    <row r="5" customFormat="false" ht="23.85" hidden="false" customHeight="false" outlineLevel="0" collapsed="false">
      <c r="A5" s="7" t="s">
        <v>517</v>
      </c>
      <c r="B5" s="7" t="s">
        <v>1410</v>
      </c>
      <c r="C5" s="7" t="s">
        <v>15</v>
      </c>
      <c r="D5" s="7" t="s">
        <v>1411</v>
      </c>
      <c r="E5" s="7" t="n">
        <f aca="false">COUNTIF('Test Cases'!$K:$K,"*R04*")+COUNTIF('Test Cases'!$K:$K,"All")</f>
        <v>17</v>
      </c>
      <c r="F5" s="7" t="s">
        <v>1412</v>
      </c>
    </row>
    <row r="6" customFormat="false" ht="23.85" hidden="false" customHeight="false" outlineLevel="0" collapsed="false">
      <c r="A6" s="7" t="s">
        <v>602</v>
      </c>
      <c r="B6" s="7" t="s">
        <v>1413</v>
      </c>
      <c r="C6" s="7" t="s">
        <v>14</v>
      </c>
      <c r="D6" s="7" t="s">
        <v>1414</v>
      </c>
      <c r="E6" s="7" t="n">
        <f aca="false">COUNTIF('Test Cases'!$K:$K,"*R05*")+COUNTIF('Test Cases'!$K:$K,"All")</f>
        <v>19</v>
      </c>
      <c r="F6" s="7" t="s">
        <v>1415</v>
      </c>
    </row>
    <row r="7" customFormat="false" ht="15" hidden="false" customHeight="false" outlineLevel="0" collapsed="false">
      <c r="A7" s="7" t="s">
        <v>659</v>
      </c>
      <c r="B7" s="7" t="s">
        <v>1416</v>
      </c>
      <c r="C7" s="7" t="s">
        <v>15</v>
      </c>
      <c r="D7" s="7" t="s">
        <v>1417</v>
      </c>
      <c r="E7" s="7" t="n">
        <f aca="false">COUNTIF('Test Cases'!$K:$K,"*R06*")+COUNTIF('Test Cases'!$K:$K,"All")</f>
        <v>9</v>
      </c>
      <c r="F7" s="7" t="s">
        <v>1418</v>
      </c>
    </row>
    <row r="8" customFormat="false" ht="35.05" hidden="false" customHeight="false" outlineLevel="0" collapsed="false">
      <c r="A8" s="7" t="s">
        <v>707</v>
      </c>
      <c r="B8" s="7" t="s">
        <v>23</v>
      </c>
      <c r="C8" s="7" t="s">
        <v>14</v>
      </c>
      <c r="D8" s="7" t="s">
        <v>1419</v>
      </c>
      <c r="E8" s="7" t="n">
        <f aca="false">COUNTIF('Test Cases'!$K:$K,"*R07*")+COUNTIF('Test Cases'!$K:$K,"All")</f>
        <v>24</v>
      </c>
      <c r="F8" s="7" t="s">
        <v>1420</v>
      </c>
    </row>
    <row r="9" customFormat="false" ht="23.85" hidden="false" customHeight="false" outlineLevel="0" collapsed="false">
      <c r="A9" s="7" t="s">
        <v>803</v>
      </c>
      <c r="B9" s="7" t="s">
        <v>24</v>
      </c>
      <c r="C9" s="7" t="s">
        <v>14</v>
      </c>
      <c r="D9" s="7" t="s">
        <v>1421</v>
      </c>
      <c r="E9" s="7" t="n">
        <f aca="false">COUNTIF('Test Cases'!$K:$K,"*R08*")+COUNTIF('Test Cases'!$K:$K,"All")</f>
        <v>21</v>
      </c>
      <c r="F9" s="7" t="s">
        <v>1422</v>
      </c>
    </row>
    <row r="10" customFormat="false" ht="35.05" hidden="false" customHeight="false" outlineLevel="0" collapsed="false">
      <c r="A10" s="7" t="s">
        <v>881</v>
      </c>
      <c r="B10" s="7" t="s">
        <v>25</v>
      </c>
      <c r="C10" s="7" t="s">
        <v>14</v>
      </c>
      <c r="D10" s="7" t="s">
        <v>1423</v>
      </c>
      <c r="E10" s="7" t="n">
        <f aca="false">COUNTIF('Test Cases'!$K:$K,"*R09*")+COUNTIF('Test Cases'!$K:$K,"All")</f>
        <v>29</v>
      </c>
      <c r="F10" s="7" t="s">
        <v>1424</v>
      </c>
    </row>
    <row r="11" customFormat="false" ht="35.05" hidden="false" customHeight="false" outlineLevel="0" collapsed="false">
      <c r="A11" s="7" t="s">
        <v>997</v>
      </c>
      <c r="B11" s="7" t="s">
        <v>26</v>
      </c>
      <c r="C11" s="7" t="s">
        <v>14</v>
      </c>
      <c r="D11" s="7" t="s">
        <v>1425</v>
      </c>
      <c r="E11" s="7" t="n">
        <f aca="false">COUNTIF('Test Cases'!$K:$K,"*R10*")+COUNTIF('Test Cases'!$K:$K,"All")</f>
        <v>23</v>
      </c>
      <c r="F11" s="7" t="s">
        <v>1426</v>
      </c>
    </row>
    <row r="12" customFormat="false" ht="46.25" hidden="false" customHeight="false" outlineLevel="0" collapsed="false">
      <c r="A12" s="7" t="s">
        <v>510</v>
      </c>
      <c r="B12" s="7" t="s">
        <v>1427</v>
      </c>
      <c r="C12" s="7" t="s">
        <v>14</v>
      </c>
      <c r="D12" s="7" t="s">
        <v>1428</v>
      </c>
      <c r="E12" s="7" t="n">
        <f aca="false">COUNTIF('Test Cases'!$K:$K,"*R11*")+COUNTIF('Test Cases'!$K:$K,"All")</f>
        <v>41</v>
      </c>
      <c r="F12" s="7" t="s">
        <v>1429</v>
      </c>
    </row>
    <row r="13" customFormat="false" ht="35.05" hidden="false" customHeight="false" outlineLevel="0" collapsed="false">
      <c r="A13" s="7" t="s">
        <v>1118</v>
      </c>
      <c r="B13" s="7" t="s">
        <v>1430</v>
      </c>
      <c r="C13" s="7" t="s">
        <v>15</v>
      </c>
      <c r="D13" s="7" t="s">
        <v>1431</v>
      </c>
      <c r="E13" s="7" t="n">
        <f aca="false">COUNTIF('Test Cases'!$K:$K,"*R12*")+COUNTIF('Test Cases'!$K:$K,"All")</f>
        <v>23</v>
      </c>
      <c r="F13" s="7" t="s">
        <v>1432</v>
      </c>
    </row>
    <row r="14" customFormat="false" ht="15" hidden="false" customHeight="false" outlineLevel="0" collapsed="false">
      <c r="A14" s="7" t="s">
        <v>1334</v>
      </c>
      <c r="B14" s="7" t="s">
        <v>1433</v>
      </c>
      <c r="C14" s="7" t="s">
        <v>15</v>
      </c>
      <c r="D14" s="7" t="s">
        <v>1434</v>
      </c>
      <c r="E14" s="7" t="n">
        <f aca="false">COUNTIF('Test Cases'!$K:$K,"*R13*")+COUNTIF('Test Cases'!$K:$K,"All")</f>
        <v>5</v>
      </c>
      <c r="F14" s="7" t="s">
        <v>1435</v>
      </c>
    </row>
    <row r="15" customFormat="false" ht="15" hidden="false" customHeight="false" outlineLevel="0" collapsed="false">
      <c r="A15" s="7" t="s">
        <v>1351</v>
      </c>
      <c r="B15" s="7" t="s">
        <v>1436</v>
      </c>
      <c r="C15" s="7" t="s">
        <v>15</v>
      </c>
      <c r="D15" s="7" t="s">
        <v>1437</v>
      </c>
      <c r="E15" s="7" t="n">
        <f aca="false">COUNTIF('Test Cases'!$K:$K,"*R14*")+COUNTIF('Test Cases'!$K:$K,"All")</f>
        <v>3</v>
      </c>
      <c r="F15" s="7" t="s">
        <v>1438</v>
      </c>
    </row>
    <row r="16" customFormat="false" ht="15" hidden="false" customHeight="false" outlineLevel="0" collapsed="false">
      <c r="A16" s="7" t="s">
        <v>1327</v>
      </c>
      <c r="B16" s="7" t="s">
        <v>1439</v>
      </c>
      <c r="C16" s="7" t="s">
        <v>16</v>
      </c>
      <c r="D16" s="7" t="s">
        <v>1440</v>
      </c>
      <c r="E16" s="7" t="n">
        <f aca="false">COUNTIF('Test Cases'!$K:$K,"*R15*")+COUNTIF('Test Cases'!$K:$K,"All")</f>
        <v>4</v>
      </c>
      <c r="F16" s="7" t="s">
        <v>1441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0"/>
  </cols>
  <sheetData>
    <row r="1" customFormat="false" ht="15" hidden="false" customHeight="false" outlineLevel="0" collapsed="false">
      <c r="A1" s="5" t="s">
        <v>1442</v>
      </c>
      <c r="B1" s="5" t="s">
        <v>1362</v>
      </c>
      <c r="C1" s="5" t="s">
        <v>1443</v>
      </c>
    </row>
    <row r="2" customFormat="false" ht="15" hidden="false" customHeight="false" outlineLevel="0" collapsed="false">
      <c r="A2" s="7" t="s">
        <v>1444</v>
      </c>
      <c r="B2" s="7" t="s">
        <v>1445</v>
      </c>
      <c r="C2" s="7" t="s">
        <v>1446</v>
      </c>
    </row>
    <row r="3" customFormat="false" ht="15" hidden="false" customHeight="false" outlineLevel="0" collapsed="false">
      <c r="A3" s="7" t="s">
        <v>1447</v>
      </c>
      <c r="B3" s="7" t="s">
        <v>1448</v>
      </c>
      <c r="C3" s="7" t="s">
        <v>1449</v>
      </c>
    </row>
    <row r="4" customFormat="false" ht="15" hidden="false" customHeight="false" outlineLevel="0" collapsed="false">
      <c r="A4" s="7" t="s">
        <v>1450</v>
      </c>
      <c r="B4" s="7" t="s">
        <v>1451</v>
      </c>
      <c r="C4" s="7" t="s">
        <v>1452</v>
      </c>
    </row>
    <row r="5" customFormat="false" ht="15" hidden="false" customHeight="false" outlineLevel="0" collapsed="false">
      <c r="A5" s="7" t="s">
        <v>1453</v>
      </c>
      <c r="B5" s="7" t="s">
        <v>1454</v>
      </c>
      <c r="C5" s="7" t="s">
        <v>1455</v>
      </c>
    </row>
    <row r="6" customFormat="false" ht="23.85" hidden="false" customHeight="false" outlineLevel="0" collapsed="false">
      <c r="A6" s="7" t="s">
        <v>673</v>
      </c>
      <c r="B6" s="7" t="s">
        <v>1456</v>
      </c>
      <c r="C6" s="7" t="s">
        <v>1457</v>
      </c>
    </row>
    <row r="7" customFormat="false" ht="15" hidden="false" customHeight="false" outlineLevel="0" collapsed="false">
      <c r="A7" s="7" t="s">
        <v>331</v>
      </c>
      <c r="B7" s="7" t="s">
        <v>1458</v>
      </c>
      <c r="C7" s="7" t="s">
        <v>1459</v>
      </c>
    </row>
    <row r="8" customFormat="false" ht="15" hidden="false" customHeight="false" outlineLevel="0" collapsed="false">
      <c r="A8" s="7" t="s">
        <v>1460</v>
      </c>
      <c r="B8" s="7" t="s">
        <v>1461</v>
      </c>
      <c r="C8" s="7" t="s">
        <v>1462</v>
      </c>
    </row>
    <row r="9" customFormat="false" ht="23.85" hidden="false" customHeight="false" outlineLevel="0" collapsed="false">
      <c r="A9" s="7" t="s">
        <v>1463</v>
      </c>
      <c r="B9" s="7" t="s">
        <v>1464</v>
      </c>
      <c r="C9" s="7" t="s">
        <v>1465</v>
      </c>
    </row>
    <row r="10" customFormat="false" ht="15" hidden="false" customHeight="false" outlineLevel="0" collapsed="false">
      <c r="A10" s="7" t="s">
        <v>1466</v>
      </c>
      <c r="B10" s="7" t="s">
        <v>1467</v>
      </c>
      <c r="C10" s="7" t="s">
        <v>1468</v>
      </c>
    </row>
    <row r="11" customFormat="false" ht="23.85" hidden="false" customHeight="false" outlineLevel="0" collapsed="false">
      <c r="A11" s="7" t="s">
        <v>1469</v>
      </c>
      <c r="B11" s="7" t="s">
        <v>1470</v>
      </c>
      <c r="C11" s="7" t="s">
        <v>1471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2026-10-22T10:14:56Z</dcterms:created>
  <dc:creator>openpyxl</dc:creator>
  <dc:description/>
  <dc:language>en-US</dc:language>
  <cp:lastModifiedBy/>
  <dcterms:modified xsi:type="dcterms:W3CDTF">2026-10-22T10:14:57Z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